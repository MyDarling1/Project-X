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правочник" sheetId="1" state="visible" r:id="rId1"/>
    <sheet xmlns:r="http://schemas.openxmlformats.org/officeDocument/2006/relationships" name="Сатори_факт" sheetId="2" state="visible" r:id="rId2"/>
    <sheet xmlns:r="http://schemas.openxmlformats.org/officeDocument/2006/relationships" name="Заказы_по_неделям" sheetId="3" state="visible" r:id="rId3"/>
    <sheet xmlns:r="http://schemas.openxmlformats.org/officeDocument/2006/relationships" name="Объём_по_неделям" sheetId="4" state="visible" r:id="rId4"/>
    <sheet xmlns:r="http://schemas.openxmlformats.org/officeDocument/2006/relationships" name="Дни_по_неделям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001F3864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5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6" fillId="3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3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10" fillId="0" borderId="0" pivotButton="0" quotePrefix="0" xfId="0"/>
    <xf numFmtId="0" fontId="11" fillId="0" borderId="0" pivotButton="0" quotePrefix="0" xfId="0"/>
    <xf numFmtId="0" fontId="12" fillId="4" borderId="2" applyAlignment="1" pivotButton="0" quotePrefix="0" xfId="0">
      <alignment horizontal="center" vertical="center" wrapText="1"/>
    </xf>
    <xf numFmtId="0" fontId="11" fillId="0" borderId="2" pivotButton="0" quotePrefix="0" xfId="0"/>
    <xf numFmtId="0" fontId="0" fillId="0" borderId="2" pivotButton="0" quotePrefix="0" xfId="0"/>
    <xf numFmtId="1" fontId="11" fillId="0" borderId="2" applyAlignment="1" pivotButton="0" quotePrefix="0" xfId="0">
      <alignment horizontal="center"/>
    </xf>
    <xf numFmtId="0" fontId="13" fillId="0" borderId="2" pivotButton="0" quotePrefix="0" xfId="0"/>
    <xf numFmtId="164" fontId="13" fillId="0" borderId="2" applyAlignment="1" pivotButton="0" quotePrefix="0" xfId="0">
      <alignment horizontal="center"/>
    </xf>
    <xf numFmtId="0" fontId="12" fillId="5" borderId="2" pivotButton="0" quotePrefix="0" xfId="0"/>
    <xf numFmtId="0" fontId="0" fillId="5" borderId="2" pivotButton="0" quotePrefix="0" xfId="0"/>
    <xf numFmtId="164" fontId="12" fillId="5" borderId="2" applyAlignment="1" pivotButton="0" quotePrefix="0" xfId="0">
      <alignment horizontal="center"/>
    </xf>
    <xf numFmtId="3" fontId="13" fillId="0" borderId="2" applyAlignment="1" pivotButton="0" quotePrefix="0" xfId="0">
      <alignment horizontal="center"/>
    </xf>
    <xf numFmtId="3" fontId="12" fillId="5" borderId="2" applyAlignment="1" pivotButton="0" quotePrefix="0" xfId="0">
      <alignment horizontal="center"/>
    </xf>
    <xf numFmtId="1" fontId="13" fillId="0" borderId="2" applyAlignment="1" pivotButton="0" quotePrefix="0" xfId="0">
      <alignment horizontal="center"/>
    </xf>
    <xf numFmtId="1" fontId="12" fillId="5" borderId="2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18" customWidth="1" style="19" min="2" max="2"/>
    <col width="11" customWidth="1" style="19" min="3" max="3"/>
    <col width="8" customWidth="1" style="19" min="4" max="4"/>
    <col width="9" customWidth="1" style="19" min="5" max="5"/>
    <col width="14" customWidth="1" style="19" min="6" max="6"/>
    <col width="13" customWidth="1" style="19" min="7" max="7"/>
    <col width="15" customWidth="1" style="19" min="8" max="8"/>
    <col width="13" customWidth="1" style="19" min="9" max="9"/>
    <col width="15" customWidth="1" style="19" min="10" max="10"/>
    <col width="13" customWidth="1" style="19" min="11" max="11"/>
    <col width="12" customWidth="1" style="19" min="12" max="12"/>
    <col width="11" customWidth="1" style="19" min="13" max="13"/>
  </cols>
  <sheetData>
    <row r="1" ht="15" customHeight="1" s="20">
      <c r="A1" s="21" t="inlineStr">
        <is>
          <t>Эталон ПВЗ Uzum — справочник (источник правды для не-дневных параметров)</t>
        </is>
      </c>
    </row>
    <row r="2" ht="15" customHeight="1" s="20">
      <c r="A2" s="22" t="inlineStr">
        <is>
          <t>Синие — редактируемые входы. OPEX = Аренда + ЗП (месячные, сум). Заказы/выручка — на листах ниже, накапливаются из узум.xlsx.</t>
        </is>
      </c>
    </row>
    <row r="4" ht="23.85" customHeight="1" s="20">
      <c r="A4" s="23" t="inlineStr">
        <is>
          <t>Код</t>
        </is>
      </c>
      <c r="B4" s="23" t="inlineStr">
        <is>
          <t>AKA</t>
        </is>
      </c>
      <c r="C4" s="23" t="inlineStr">
        <is>
          <t>Город</t>
        </is>
      </c>
      <c r="D4" s="23" t="inlineStr">
        <is>
          <t>Сегмент</t>
        </is>
      </c>
      <c r="E4" s="23" t="inlineStr">
        <is>
          <t>Комиссия</t>
        </is>
      </c>
      <c r="F4" s="23" t="inlineStr">
        <is>
          <t>Аренда, сум/мес</t>
        </is>
      </c>
      <c r="G4" s="23" t="inlineStr">
        <is>
          <t>ЗП, сум/мес</t>
        </is>
      </c>
      <c r="H4" s="23" t="inlineStr">
        <is>
          <t>Затраты на УК, $/мес</t>
        </is>
      </c>
      <c r="I4" s="23" t="inlineStr">
        <is>
          <t>Разное, сум/мес</t>
        </is>
      </c>
      <c r="J4" s="23" t="inlineStr">
        <is>
          <t>Гарантия, сум/мес</t>
        </is>
      </c>
      <c r="K4" s="23" t="inlineStr">
        <is>
          <t>Прогноз 1-го мес, зак/день</t>
        </is>
      </c>
      <c r="L4" s="23" t="inlineStr">
        <is>
          <t>Яндекс-пик, зак/день</t>
        </is>
      </c>
      <c r="M4" s="23" t="inlineStr">
        <is>
          <t>Старт</t>
        </is>
      </c>
    </row>
    <row r="5" ht="15" customHeight="1" s="20">
      <c r="A5" s="24" t="inlineStr">
        <is>
          <t>FRТАШ-290</t>
        </is>
      </c>
      <c r="B5" s="24" t="inlineStr">
        <is>
          <t>Буз-1</t>
        </is>
      </c>
      <c r="C5" s="24" t="inlineStr">
        <is>
          <t>Ташкент</t>
        </is>
      </c>
      <c r="D5" s="25" t="n">
        <v>1</v>
      </c>
      <c r="E5" s="26" t="n">
        <v>0.06</v>
      </c>
      <c r="F5" s="27" t="n">
        <v>6500000</v>
      </c>
      <c r="G5" s="27" t="n">
        <v>7440000</v>
      </c>
      <c r="H5" s="27" t="n">
        <v>320</v>
      </c>
      <c r="I5" s="27" t="n">
        <v>0</v>
      </c>
      <c r="J5" s="27" t="n">
        <v>17400000</v>
      </c>
      <c r="K5" s="25" t="n">
        <v>61</v>
      </c>
      <c r="L5" s="25" t="n">
        <v>32</v>
      </c>
      <c r="M5" s="28" t="inlineStr">
        <is>
          <t>2026-05-06</t>
        </is>
      </c>
    </row>
    <row r="6" ht="15" customHeight="1" s="20">
      <c r="A6" s="24" t="inlineStr">
        <is>
          <t>FRТАШ-291</t>
        </is>
      </c>
      <c r="B6" s="24" t="inlineStr">
        <is>
          <t>Бабур</t>
        </is>
      </c>
      <c r="C6" s="24" t="inlineStr">
        <is>
          <t>Ташкент</t>
        </is>
      </c>
      <c r="D6" s="25" t="n">
        <v>1</v>
      </c>
      <c r="E6" s="26" t="n">
        <v>0.06</v>
      </c>
      <c r="F6" s="27" t="n">
        <v>9000000</v>
      </c>
      <c r="G6" s="27" t="n">
        <v>7440000</v>
      </c>
      <c r="H6" s="27" t="n">
        <v>320</v>
      </c>
      <c r="I6" s="27" t="n">
        <v>0</v>
      </c>
      <c r="J6" s="27" t="n">
        <v>17400000</v>
      </c>
      <c r="K6" s="25" t="n">
        <v>39</v>
      </c>
      <c r="L6" s="25" t="n">
        <v>43</v>
      </c>
      <c r="M6" s="28" t="inlineStr">
        <is>
          <t>2026-05-06</t>
        </is>
      </c>
    </row>
    <row r="7" ht="15" customHeight="1" s="20">
      <c r="A7" s="24" t="inlineStr">
        <is>
          <t>FRТАШ-294</t>
        </is>
      </c>
      <c r="B7" s="24" t="inlineStr">
        <is>
          <t>Шастри</t>
        </is>
      </c>
      <c r="C7" s="24" t="inlineStr">
        <is>
          <t>Ташкент</t>
        </is>
      </c>
      <c r="D7" s="25" t="n">
        <v>1</v>
      </c>
      <c r="E7" s="26" t="n">
        <v>0.06</v>
      </c>
      <c r="F7" s="27" t="n">
        <v>11909091</v>
      </c>
      <c r="G7" s="27" t="n">
        <v>7440000</v>
      </c>
      <c r="H7" s="27" t="n">
        <v>320</v>
      </c>
      <c r="I7" s="27" t="n">
        <v>0</v>
      </c>
      <c r="J7" s="27" t="n">
        <v>17400000</v>
      </c>
      <c r="K7" s="25" t="n">
        <v>38</v>
      </c>
      <c r="L7" s="25" t="n">
        <v>36</v>
      </c>
      <c r="M7" s="28" t="inlineStr">
        <is>
          <t>2026-05-01</t>
        </is>
      </c>
    </row>
    <row r="8" ht="15" customHeight="1" s="20">
      <c r="A8" s="24" t="inlineStr">
        <is>
          <t>FRТАШ-292</t>
        </is>
      </c>
      <c r="B8" s="24" t="inlineStr">
        <is>
          <t>Спутник</t>
        </is>
      </c>
      <c r="C8" s="24" t="inlineStr">
        <is>
          <t>Ташкент</t>
        </is>
      </c>
      <c r="D8" s="25" t="n">
        <v>1</v>
      </c>
      <c r="E8" s="26" t="n">
        <v>0.06</v>
      </c>
      <c r="F8" s="27" t="n">
        <v>3647160</v>
      </c>
      <c r="G8" s="27" t="n">
        <v>7440000</v>
      </c>
      <c r="H8" s="27" t="n">
        <v>320</v>
      </c>
      <c r="I8" s="27" t="n">
        <v>0</v>
      </c>
      <c r="J8" s="27" t="n">
        <v>17400000</v>
      </c>
      <c r="K8" s="25" t="n">
        <v>38</v>
      </c>
      <c r="L8" s="25" t="n">
        <v>30</v>
      </c>
      <c r="M8" s="28" t="inlineStr">
        <is>
          <t>2026-05-06</t>
        </is>
      </c>
    </row>
    <row r="9" ht="15" customHeight="1" s="20">
      <c r="A9" s="24" t="inlineStr">
        <is>
          <t>FRАЛМ-9</t>
        </is>
      </c>
      <c r="B9" s="24" t="inlineStr">
        <is>
          <t>Алмалык Амир Т</t>
        </is>
      </c>
      <c r="C9" s="24" t="inlineStr">
        <is>
          <t>Алмалык</t>
        </is>
      </c>
      <c r="D9" s="25" t="n">
        <v>2</v>
      </c>
      <c r="E9" s="26" t="n">
        <v>0.05</v>
      </c>
      <c r="F9" s="27" t="n">
        <v>4431000</v>
      </c>
      <c r="G9" s="27" t="n">
        <v>6212400</v>
      </c>
      <c r="H9" s="27" t="n">
        <v>320</v>
      </c>
      <c r="I9" s="27" t="n">
        <v>0</v>
      </c>
      <c r="J9" s="27" t="n">
        <v>14000000</v>
      </c>
      <c r="K9" s="25" t="n">
        <v>38</v>
      </c>
      <c r="L9" s="25" t="n">
        <v>40</v>
      </c>
      <c r="M9" s="28" t="inlineStr">
        <is>
          <t>2026-05-07</t>
        </is>
      </c>
    </row>
    <row r="10" ht="15" customHeight="1" s="20">
      <c r="A10" s="24" t="inlineStr">
        <is>
          <t>FRТАШ-289</t>
        </is>
      </c>
      <c r="B10" s="24" t="inlineStr">
        <is>
          <t>Афросиаб</t>
        </is>
      </c>
      <c r="C10" s="24" t="inlineStr">
        <is>
          <t>Ташкент</t>
        </is>
      </c>
      <c r="D10" s="25" t="n">
        <v>1</v>
      </c>
      <c r="E10" s="26" t="n">
        <v>0.06</v>
      </c>
      <c r="F10" s="27" t="n">
        <v>10420455</v>
      </c>
      <c r="G10" s="27" t="n">
        <v>7440000</v>
      </c>
      <c r="H10" s="27" t="n">
        <v>320</v>
      </c>
      <c r="I10" s="27" t="n">
        <v>0</v>
      </c>
      <c r="J10" s="27" t="n">
        <v>17400000</v>
      </c>
      <c r="K10" s="25" t="n">
        <v>58</v>
      </c>
      <c r="L10" s="25" t="n">
        <v>48</v>
      </c>
      <c r="M10" s="28" t="inlineStr">
        <is>
          <t>2026-05-14</t>
        </is>
      </c>
    </row>
    <row r="11" ht="15" customHeight="1" s="20">
      <c r="A11" s="24" t="inlineStr">
        <is>
          <t>FRТАШ-293</t>
        </is>
      </c>
      <c r="B11" s="24" t="inlineStr">
        <is>
          <t>Кургантепа</t>
        </is>
      </c>
      <c r="C11" s="24" t="inlineStr">
        <is>
          <t>Ташкент</t>
        </is>
      </c>
      <c r="D11" s="25" t="n">
        <v>1</v>
      </c>
      <c r="E11" s="26" t="n">
        <v>0.06</v>
      </c>
      <c r="F11" s="27" t="n">
        <v>7112000</v>
      </c>
      <c r="G11" s="27" t="n">
        <v>7440000</v>
      </c>
      <c r="H11" s="27" t="n">
        <v>320</v>
      </c>
      <c r="I11" s="27" t="n">
        <v>0</v>
      </c>
      <c r="J11" s="27" t="n">
        <v>17400000</v>
      </c>
      <c r="K11" s="25" t="n">
        <v>61</v>
      </c>
      <c r="L11" s="25" t="n">
        <v>48</v>
      </c>
      <c r="M11" s="28" t="inlineStr">
        <is>
          <t>2026-05-12</t>
        </is>
      </c>
    </row>
    <row r="12" ht="15" customHeight="1" s="20">
      <c r="A12" s="24" t="inlineStr">
        <is>
          <t>FRТАШ-319</t>
        </is>
      </c>
      <c r="B12" s="24" t="inlineStr">
        <is>
          <t>Баку</t>
        </is>
      </c>
      <c r="C12" s="24" t="inlineStr">
        <is>
          <t>Ташкент</t>
        </is>
      </c>
      <c r="D12" s="25" t="n">
        <v>1</v>
      </c>
      <c r="E12" s="26" t="n">
        <v>0.06</v>
      </c>
      <c r="F12" s="27" t="n">
        <v>5800000</v>
      </c>
      <c r="G12" s="27" t="n">
        <v>7440000</v>
      </c>
      <c r="H12" s="27" t="n">
        <v>320</v>
      </c>
      <c r="I12" s="27" t="n">
        <v>0</v>
      </c>
      <c r="J12" s="27" t="n">
        <v>17400000</v>
      </c>
      <c r="K12" s="25" t="n">
        <v>35</v>
      </c>
      <c r="L12" s="25" t="n">
        <v>34</v>
      </c>
      <c r="M12" s="28" t="inlineStr">
        <is>
          <t>2026-05-06</t>
        </is>
      </c>
    </row>
    <row r="13" ht="15" customHeight="1" s="20">
      <c r="A13" s="24" t="inlineStr">
        <is>
          <t>FRБХР-30</t>
        </is>
      </c>
      <c r="B13" s="24" t="inlineStr">
        <is>
          <t>Бухара</t>
        </is>
      </c>
      <c r="C13" s="24" t="inlineStr">
        <is>
          <t>Бухара</t>
        </is>
      </c>
      <c r="D13" s="25" t="n">
        <v>2</v>
      </c>
      <c r="E13" s="26" t="n">
        <v>0.05</v>
      </c>
      <c r="F13" s="27" t="n">
        <v>5818182</v>
      </c>
      <c r="G13" s="27" t="n">
        <v>6212400</v>
      </c>
      <c r="H13" s="27" t="n">
        <v>320</v>
      </c>
      <c r="I13" s="27" t="n">
        <v>0</v>
      </c>
      <c r="J13" s="27" t="n">
        <v>14000000</v>
      </c>
      <c r="K13" s="25" t="n">
        <v>31</v>
      </c>
      <c r="L13" s="25" t="n">
        <v>25</v>
      </c>
      <c r="M13" s="28" t="inlineStr">
        <is>
          <t>2026-05-01</t>
        </is>
      </c>
    </row>
    <row r="14" ht="15" customHeight="1" s="20">
      <c r="A14" s="24" t="inlineStr">
        <is>
          <t>FRГАЗ-4</t>
        </is>
      </c>
      <c r="B14" s="24" t="inlineStr">
        <is>
          <t>Газалкент</t>
        </is>
      </c>
      <c r="C14" s="24" t="inlineStr">
        <is>
          <t>Газалкент</t>
        </is>
      </c>
      <c r="D14" s="25" t="n">
        <v>2</v>
      </c>
      <c r="E14" s="26" t="n">
        <v>0.05</v>
      </c>
      <c r="F14" s="27" t="n">
        <v>2954545</v>
      </c>
      <c r="G14" s="27" t="n">
        <v>6212400</v>
      </c>
      <c r="H14" s="27" t="n">
        <v>320</v>
      </c>
      <c r="I14" s="27" t="n">
        <v>0</v>
      </c>
      <c r="J14" s="27" t="n">
        <v>14000000</v>
      </c>
      <c r="K14" s="25" t="n">
        <v>60</v>
      </c>
      <c r="L14" s="25" t="n">
        <v>31</v>
      </c>
      <c r="M14" s="28" t="inlineStr">
        <is>
          <t>2026-05-01</t>
        </is>
      </c>
    </row>
    <row r="15" ht="15" customHeight="1" s="20">
      <c r="A15" s="24" t="inlineStr">
        <is>
          <t>FRТАШ-308</t>
        </is>
      </c>
      <c r="B15" s="24" t="inlineStr">
        <is>
          <t>Янгиюнусабад</t>
        </is>
      </c>
      <c r="C15" s="24" t="inlineStr">
        <is>
          <t>Ташкент</t>
        </is>
      </c>
      <c r="D15" s="25" t="n">
        <v>1</v>
      </c>
      <c r="E15" s="26" t="n">
        <v>0.06</v>
      </c>
      <c r="F15" s="27" t="n">
        <v>7386364</v>
      </c>
      <c r="G15" s="27" t="n">
        <v>7440000</v>
      </c>
      <c r="H15" s="27" t="n">
        <v>320</v>
      </c>
      <c r="I15" s="27" t="n">
        <v>0</v>
      </c>
      <c r="J15" s="27" t="n">
        <v>17400000</v>
      </c>
      <c r="K15" s="25" t="n">
        <v>61</v>
      </c>
      <c r="L15" s="25" t="n">
        <v>65</v>
      </c>
      <c r="M15" s="28" t="inlineStr">
        <is>
          <t>2026-05-01</t>
        </is>
      </c>
    </row>
    <row r="16" ht="15" customHeight="1" s="20">
      <c r="A16" s="24" t="inlineStr">
        <is>
          <t>FRБУК-2</t>
        </is>
      </c>
      <c r="B16" s="24" t="inlineStr">
        <is>
          <t>Бука</t>
        </is>
      </c>
      <c r="C16" s="24" t="inlineStr">
        <is>
          <t>Бука</t>
        </is>
      </c>
      <c r="D16" s="25" t="n">
        <v>2</v>
      </c>
      <c r="E16" s="26" t="n">
        <v>0.05</v>
      </c>
      <c r="F16" s="27" t="n">
        <v>2954545</v>
      </c>
      <c r="G16" s="27" t="n">
        <v>6212400</v>
      </c>
      <c r="H16" s="27" t="n">
        <v>320</v>
      </c>
      <c r="I16" s="27" t="n">
        <v>0</v>
      </c>
      <c r="J16" s="27" t="n">
        <v>14000000</v>
      </c>
      <c r="K16" s="25" t="n">
        <v>33</v>
      </c>
      <c r="L16" s="25" t="n">
        <v>43</v>
      </c>
      <c r="M16" s="28" t="inlineStr">
        <is>
          <t>2026-05-05</t>
        </is>
      </c>
    </row>
    <row r="17" ht="15" customHeight="1" s="20">
      <c r="A17" s="24" t="inlineStr">
        <is>
          <t>FRСМК-52</t>
        </is>
      </c>
      <c r="B17" s="24" t="inlineStr">
        <is>
          <t>Рудаки</t>
        </is>
      </c>
      <c r="C17" s="24" t="inlineStr">
        <is>
          <t>Самарканд</t>
        </is>
      </c>
      <c r="D17" s="25" t="n">
        <v>2</v>
      </c>
      <c r="E17" s="26" t="n">
        <v>0.05</v>
      </c>
      <c r="F17" s="27" t="n">
        <v>7329545</v>
      </c>
      <c r="G17" s="27" t="n">
        <v>6212400</v>
      </c>
      <c r="H17" s="27" t="n">
        <v>320</v>
      </c>
      <c r="I17" s="27" t="n">
        <v>0</v>
      </c>
      <c r="J17" s="27" t="n">
        <v>14000000</v>
      </c>
      <c r="K17" s="25" t="n">
        <v>36</v>
      </c>
      <c r="L17" s="25" t="n">
        <v>41</v>
      </c>
      <c r="M17" s="28" t="inlineStr">
        <is>
          <t>2026-05-04</t>
        </is>
      </c>
    </row>
    <row r="18" ht="15" customHeight="1" s="20">
      <c r="A18" s="24" t="inlineStr">
        <is>
          <t>FRАЛМ-10</t>
        </is>
      </c>
      <c r="B18" s="24" t="inlineStr">
        <is>
          <t>Алмалык Мустакилик</t>
        </is>
      </c>
      <c r="C18" s="24" t="inlineStr">
        <is>
          <t>Алмалык</t>
        </is>
      </c>
      <c r="D18" s="25" t="n">
        <v>2</v>
      </c>
      <c r="E18" s="26" t="n">
        <v>0.05</v>
      </c>
      <c r="F18" s="27" t="n">
        <v>3409091</v>
      </c>
      <c r="G18" s="27" t="n">
        <v>6212400</v>
      </c>
      <c r="H18" s="27" t="n">
        <v>320</v>
      </c>
      <c r="I18" s="27" t="n">
        <v>0</v>
      </c>
      <c r="J18" s="27" t="n">
        <v>14000000</v>
      </c>
      <c r="K18" s="25" t="n">
        <v>36</v>
      </c>
      <c r="L18" s="25" t="n">
        <v>23</v>
      </c>
      <c r="M18" s="28" t="inlineStr">
        <is>
          <t>2026-05-06</t>
        </is>
      </c>
    </row>
    <row r="19" ht="15" customHeight="1" s="20">
      <c r="A19" s="24" t="inlineStr">
        <is>
          <t>FRПСК-2</t>
        </is>
      </c>
      <c r="B19" s="24" t="inlineStr">
        <is>
          <t>Пскент</t>
        </is>
      </c>
      <c r="C19" s="24" t="inlineStr">
        <is>
          <t>Пскент</t>
        </is>
      </c>
      <c r="D19" s="25" t="n">
        <v>2</v>
      </c>
      <c r="E19" s="26" t="n">
        <v>0.05</v>
      </c>
      <c r="F19" s="27" t="n">
        <v>4435000</v>
      </c>
      <c r="G19" s="27" t="n">
        <v>6212400</v>
      </c>
      <c r="H19" s="27" t="n">
        <v>320</v>
      </c>
      <c r="I19" s="27" t="n">
        <v>0</v>
      </c>
      <c r="J19" s="27" t="n">
        <v>14000000</v>
      </c>
      <c r="K19" s="25" t="n">
        <v>37</v>
      </c>
      <c r="L19" s="25" t="n">
        <v>40</v>
      </c>
      <c r="M19" s="28" t="inlineStr">
        <is>
          <t>2026-05-20</t>
        </is>
      </c>
    </row>
    <row r="20" ht="15" customHeight="1" s="20">
      <c r="A20" s="24" t="inlineStr">
        <is>
          <t>FRТАШ-307</t>
        </is>
      </c>
      <c r="B20" s="24" t="inlineStr">
        <is>
          <t>Крестик</t>
        </is>
      </c>
      <c r="C20" s="24" t="inlineStr">
        <is>
          <t>Ташкент</t>
        </is>
      </c>
      <c r="D20" s="25" t="n">
        <v>1</v>
      </c>
      <c r="E20" s="26" t="n">
        <v>0.06</v>
      </c>
      <c r="F20" s="27" t="n">
        <v>7216000</v>
      </c>
      <c r="G20" s="27" t="n">
        <v>7440000</v>
      </c>
      <c r="H20" s="27" t="n">
        <v>320</v>
      </c>
      <c r="I20" s="27" t="n">
        <v>0</v>
      </c>
      <c r="J20" s="27" t="n">
        <v>17400000</v>
      </c>
      <c r="K20" s="25" t="n">
        <v>60</v>
      </c>
      <c r="L20" s="25" t="n">
        <v>68</v>
      </c>
      <c r="M20" s="28" t="inlineStr">
        <is>
          <t>2026-05-01</t>
        </is>
      </c>
    </row>
    <row r="21" ht="15" customHeight="1" s="20">
      <c r="A21" s="24" t="inlineStr">
        <is>
          <t>FRМРГ-8</t>
        </is>
      </c>
      <c r="B21" s="24" t="inlineStr">
        <is>
          <t>Маргилан</t>
        </is>
      </c>
      <c r="C21" s="24" t="inlineStr">
        <is>
          <t>Маргилан</t>
        </is>
      </c>
      <c r="D21" s="25" t="n">
        <v>3</v>
      </c>
      <c r="E21" s="26" t="n">
        <v>0.05</v>
      </c>
      <c r="F21" s="27" t="n">
        <v>2912000</v>
      </c>
      <c r="G21" s="27" t="n">
        <v>6212400</v>
      </c>
      <c r="H21" s="27" t="n">
        <v>320</v>
      </c>
      <c r="I21" s="27" t="n">
        <v>0</v>
      </c>
      <c r="J21" s="27" t="n">
        <v>11400000</v>
      </c>
      <c r="K21" s="25" t="n">
        <v>19</v>
      </c>
      <c r="L21" s="25" t="n">
        <v>26</v>
      </c>
      <c r="M21" s="28" t="inlineStr">
        <is>
          <t>2026-05-18</t>
        </is>
      </c>
    </row>
    <row r="22" ht="15" customHeight="1" s="20">
      <c r="A22" s="24" t="inlineStr">
        <is>
          <t>FRСМК-53</t>
        </is>
      </c>
      <c r="B22" s="24" t="inlineStr">
        <is>
          <t>Андижанская</t>
        </is>
      </c>
      <c r="C22" s="24" t="inlineStr">
        <is>
          <t>Самарканд</t>
        </is>
      </c>
      <c r="D22" s="25" t="n">
        <v>2</v>
      </c>
      <c r="E22" s="26" t="n">
        <v>0.05</v>
      </c>
      <c r="F22" s="27" t="n">
        <v>5864000</v>
      </c>
      <c r="G22" s="27" t="n">
        <v>6212400</v>
      </c>
      <c r="H22" s="27" t="n">
        <v>320</v>
      </c>
      <c r="I22" s="27" t="n">
        <v>0</v>
      </c>
      <c r="J22" s="27" t="n">
        <v>14000000</v>
      </c>
      <c r="K22" s="25" t="n">
        <v>24</v>
      </c>
      <c r="L22" s="25" t="n">
        <v>29</v>
      </c>
      <c r="M22" s="28" t="inlineStr">
        <is>
          <t>2026-05-21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0" min="1" max="1"/>
    <col width="22" customWidth="1" style="20" min="2" max="2"/>
    <col width="15" customWidth="1" style="20" min="3" max="3"/>
    <col width="15" customWidth="1" style="20" min="4" max="4"/>
    <col width="15" customWidth="1" style="20" min="5" max="5"/>
    <col width="15" customWidth="1" style="20" min="6" max="6"/>
    <col width="15" customWidth="1" style="20" min="7" max="7"/>
  </cols>
  <sheetData>
    <row r="1">
      <c r="A1" s="29" t="inlineStr">
        <is>
          <t>Факт по отчётам «Сатори» (агентское вознаграждение Uzum), сум — накопительно по месяцам</t>
        </is>
      </c>
    </row>
    <row r="2">
      <c r="A2" s="30" t="inlineStr">
        <is>
          <t>Доход ПВЗ = фикс. вознаграждение (гарантия, прорейчено) + п.1.8 + компенсация п.5.2.1. Закрытые месяцы не переписываются.</t>
        </is>
      </c>
    </row>
    <row r="3" hidden="1" s="20">
      <c r="C3" s="19" t="inlineStr">
        <is>
          <t>2026-05</t>
        </is>
      </c>
      <c r="D3" s="19" t="inlineStr">
        <is>
          <t>2026-06</t>
        </is>
      </c>
      <c r="E3" s="19" t="inlineStr">
        <is>
          <t>2026-07</t>
        </is>
      </c>
      <c r="F3" s="19" t="inlineStr">
        <is>
          <t>2026-08</t>
        </is>
      </c>
      <c r="G3" s="19" t="inlineStr">
        <is>
          <t>2026-09</t>
        </is>
      </c>
    </row>
    <row r="4">
      <c r="A4" s="31" t="inlineStr">
        <is>
          <t>Код</t>
        </is>
      </c>
      <c r="B4" s="31" t="inlineStr">
        <is>
          <t>AKA</t>
        </is>
      </c>
      <c r="C4" s="31" t="inlineStr">
        <is>
          <t>май 2026</t>
        </is>
      </c>
      <c r="D4" s="31" t="inlineStr">
        <is>
          <t>июнь 2026</t>
        </is>
      </c>
      <c r="E4" s="31" t="inlineStr">
        <is>
          <t>июль 2026</t>
        </is>
      </c>
      <c r="F4" s="31" t="inlineStr">
        <is>
          <t>август 2026</t>
        </is>
      </c>
      <c r="G4" s="31" t="inlineStr">
        <is>
          <t>сентябрь 2026</t>
        </is>
      </c>
    </row>
    <row r="5">
      <c r="A5" s="32" t="inlineStr">
        <is>
          <t>Дней в месяце</t>
        </is>
      </c>
      <c r="B5" s="33" t="inlineStr"/>
      <c r="C5" s="34" t="n">
        <v>31</v>
      </c>
      <c r="D5" s="34" t="n">
        <v>30</v>
      </c>
      <c r="E5" s="34" t="n">
        <v>31</v>
      </c>
      <c r="F5" s="34" t="n">
        <v>31</v>
      </c>
      <c r="G5" s="34" t="n">
        <v>30</v>
      </c>
    </row>
    <row r="6">
      <c r="A6" s="35" t="inlineStr">
        <is>
          <t>FRТАШ-290</t>
        </is>
      </c>
      <c r="B6" s="35" t="inlineStr">
        <is>
          <t>Буз-1</t>
        </is>
      </c>
      <c r="C6" s="40" t="n">
        <v>14619948</v>
      </c>
      <c r="D6" s="40" t="n">
        <v>23574400</v>
      </c>
      <c r="E6" s="40" t="n">
        <v>17883525</v>
      </c>
      <c r="F6" s="40" t="n">
        <v>20453791</v>
      </c>
      <c r="G6" s="40" t="n">
        <v>22046821</v>
      </c>
    </row>
    <row r="7">
      <c r="A7" s="35" t="inlineStr">
        <is>
          <t>FRТАШ-291</t>
        </is>
      </c>
      <c r="B7" s="35" t="inlineStr">
        <is>
          <t>Бабур</t>
        </is>
      </c>
      <c r="C7" s="40" t="n">
        <v>14598348</v>
      </c>
      <c r="D7" s="40" t="n">
        <v>17460000</v>
      </c>
      <c r="E7" s="40" t="n">
        <v>25822436</v>
      </c>
      <c r="F7" s="40" t="n">
        <v>20988887</v>
      </c>
      <c r="G7" s="40" t="n">
        <v>27830391</v>
      </c>
    </row>
    <row r="8">
      <c r="A8" s="35" t="inlineStr">
        <is>
          <t>FRТАШ-294</t>
        </is>
      </c>
      <c r="B8" s="35" t="inlineStr">
        <is>
          <t>Шастри</t>
        </is>
      </c>
      <c r="C8" s="40" t="n">
        <v>23504800</v>
      </c>
      <c r="D8" s="40" t="n">
        <v>17427600</v>
      </c>
      <c r="E8" s="40" t="n">
        <v>17400000</v>
      </c>
      <c r="F8" s="40" t="n">
        <v>17400000</v>
      </c>
      <c r="G8" s="40" t="n">
        <v>16704000</v>
      </c>
    </row>
    <row r="9">
      <c r="A9" s="35" t="inlineStr">
        <is>
          <t>FRТАШ-292</t>
        </is>
      </c>
      <c r="B9" s="35" t="inlineStr">
        <is>
          <t>Спутник</t>
        </is>
      </c>
      <c r="C9" s="40" t="n">
        <v>14593548</v>
      </c>
      <c r="D9" s="40" t="n">
        <v>17428800</v>
      </c>
      <c r="E9" s="40" t="n">
        <v>23500000</v>
      </c>
      <c r="F9" s="40" t="n">
        <v>17400000</v>
      </c>
      <c r="G9" s="40" t="n">
        <v>16680000</v>
      </c>
    </row>
    <row r="10">
      <c r="A10" s="35" t="inlineStr">
        <is>
          <t>FRАЛМ-9</t>
        </is>
      </c>
      <c r="B10" s="35" t="inlineStr">
        <is>
          <t>Алмалык Амир Т</t>
        </is>
      </c>
      <c r="C10" s="40" t="n">
        <v>11291523</v>
      </c>
      <c r="D10" s="40" t="n">
        <v>14007200</v>
      </c>
      <c r="E10" s="40" t="n">
        <v>20100000</v>
      </c>
      <c r="F10" s="40" t="n">
        <v>14000000</v>
      </c>
      <c r="G10" s="40" t="n">
        <v>13616000</v>
      </c>
    </row>
    <row r="11">
      <c r="A11" s="35" t="inlineStr">
        <is>
          <t>FRТАШ-289</t>
        </is>
      </c>
      <c r="B11" s="35" t="inlineStr">
        <is>
          <t>Афросиаб</t>
        </is>
      </c>
      <c r="C11" s="40" t="n">
        <v>10117626</v>
      </c>
      <c r="D11" s="40" t="n">
        <v>17409600</v>
      </c>
      <c r="E11" s="40" t="n">
        <v>23500000</v>
      </c>
      <c r="F11" s="40" t="n">
        <v>17899610</v>
      </c>
      <c r="G11" s="40" t="n">
        <v>17879748</v>
      </c>
    </row>
    <row r="12">
      <c r="A12" s="35" t="inlineStr">
        <is>
          <t>FRТАШ-293</t>
        </is>
      </c>
      <c r="B12" s="35" t="inlineStr">
        <is>
          <t>Кургантепа</t>
        </is>
      </c>
      <c r="C12" s="40" t="n">
        <v>11234206</v>
      </c>
      <c r="D12" s="40" t="n">
        <v>17426400</v>
      </c>
      <c r="E12" s="40" t="n">
        <v>23500000</v>
      </c>
      <c r="F12" s="40" t="n">
        <v>17400000</v>
      </c>
      <c r="G12" s="40" t="n">
        <v>17040000</v>
      </c>
    </row>
    <row r="13">
      <c r="A13" s="35" t="inlineStr">
        <is>
          <t>FRТАШ-319</t>
        </is>
      </c>
      <c r="B13" s="35" t="inlineStr">
        <is>
          <t>Баку</t>
        </is>
      </c>
      <c r="C13" s="40" t="n">
        <v>14598348</v>
      </c>
      <c r="D13" s="40" t="n">
        <v>17424000</v>
      </c>
      <c r="E13" s="40" t="n">
        <v>23500000</v>
      </c>
      <c r="F13" s="40" t="n">
        <v>17400000</v>
      </c>
      <c r="G13" s="40" t="n">
        <v>16542000</v>
      </c>
    </row>
    <row r="14">
      <c r="A14" s="35" t="inlineStr">
        <is>
          <t>FRБХР-30</t>
        </is>
      </c>
      <c r="B14" s="35" t="inlineStr">
        <is>
          <t>Бухара</t>
        </is>
      </c>
      <c r="C14" s="40" t="n">
        <v>14003600</v>
      </c>
      <c r="D14" s="40" t="n">
        <v>20109600</v>
      </c>
      <c r="E14" s="40" t="n">
        <v>14000000</v>
      </c>
      <c r="F14" s="40" t="n">
        <v>14000000</v>
      </c>
      <c r="G14" s="40" t="n">
        <v>13202000</v>
      </c>
    </row>
    <row r="15">
      <c r="A15" s="35" t="inlineStr">
        <is>
          <t>FRГАЗ-4</t>
        </is>
      </c>
      <c r="B15" s="35" t="inlineStr">
        <is>
          <t>Газалкент</t>
        </is>
      </c>
      <c r="C15" s="40" t="n">
        <v>14001200</v>
      </c>
      <c r="D15" s="40" t="n">
        <v>14012000</v>
      </c>
      <c r="E15" s="40" t="n">
        <v>20100000</v>
      </c>
      <c r="F15" s="40" t="n">
        <v>14000000</v>
      </c>
      <c r="G15" s="40" t="n">
        <v>13646000</v>
      </c>
    </row>
    <row r="16">
      <c r="A16" s="35" t="inlineStr">
        <is>
          <t>FRТАШ-308</t>
        </is>
      </c>
      <c r="B16" s="35" t="inlineStr">
        <is>
          <t>Янгиюнусабад</t>
        </is>
      </c>
      <c r="C16" s="40" t="n">
        <v>17401200</v>
      </c>
      <c r="D16" s="40" t="n">
        <v>17404800</v>
      </c>
      <c r="E16" s="40" t="n">
        <v>23500000</v>
      </c>
      <c r="F16" s="40" t="n">
        <v>17400000</v>
      </c>
      <c r="G16" s="40" t="n">
        <v>16572000</v>
      </c>
    </row>
    <row r="17">
      <c r="A17" s="35" t="inlineStr">
        <is>
          <t>FRБУК-2</t>
        </is>
      </c>
      <c r="B17" s="35" t="inlineStr">
        <is>
          <t>Бука</t>
        </is>
      </c>
      <c r="C17" s="40" t="n">
        <v>12193548</v>
      </c>
      <c r="D17" s="40" t="n">
        <v>14009600</v>
      </c>
      <c r="E17" s="40" t="n">
        <v>20100000</v>
      </c>
      <c r="F17" s="40" t="n">
        <v>14000000</v>
      </c>
      <c r="G17" s="40" t="n">
        <v>13184000</v>
      </c>
    </row>
    <row r="18">
      <c r="A18" s="35" t="inlineStr">
        <is>
          <t>FRСМК-52</t>
        </is>
      </c>
      <c r="B18" s="35" t="inlineStr">
        <is>
          <t>Рудаки</t>
        </is>
      </c>
      <c r="C18" s="40" t="n">
        <v>12645161</v>
      </c>
      <c r="D18" s="40" t="n">
        <v>14025200</v>
      </c>
      <c r="E18" s="40" t="n">
        <v>20100000</v>
      </c>
      <c r="F18" s="40" t="n">
        <v>14000000</v>
      </c>
      <c r="G18" s="40" t="n">
        <v>13604000</v>
      </c>
    </row>
    <row r="19">
      <c r="A19" s="35" t="inlineStr">
        <is>
          <t>FRАЛМ-10</t>
        </is>
      </c>
      <c r="B19" s="35" t="inlineStr">
        <is>
          <t>Алмалык Мустакилик</t>
        </is>
      </c>
      <c r="C19" s="40" t="n">
        <v>11744335</v>
      </c>
      <c r="D19" s="40" t="n">
        <v>14021600</v>
      </c>
      <c r="E19" s="40" t="n">
        <v>20100000</v>
      </c>
      <c r="F19" s="40" t="n">
        <v>14000000</v>
      </c>
      <c r="G19" s="40" t="n">
        <v>13556000</v>
      </c>
    </row>
    <row r="20">
      <c r="A20" s="35" t="inlineStr">
        <is>
          <t>FRПСК-2</t>
        </is>
      </c>
      <c r="B20" s="35" t="inlineStr">
        <is>
          <t>Пскент</t>
        </is>
      </c>
      <c r="C20" s="40" t="n">
        <v>5422955</v>
      </c>
      <c r="D20" s="40" t="n">
        <v>14008400</v>
      </c>
      <c r="E20" s="40" t="n">
        <v>20100000</v>
      </c>
      <c r="F20" s="40" t="n">
        <v>14000000</v>
      </c>
      <c r="G20" s="40" t="n">
        <v>13538000</v>
      </c>
    </row>
    <row r="21">
      <c r="A21" s="35" t="inlineStr">
        <is>
          <t>FRТАШ-307</t>
        </is>
      </c>
      <c r="B21" s="35" t="inlineStr">
        <is>
          <t>Крестик</t>
        </is>
      </c>
      <c r="C21" s="40" t="n">
        <v>23501200</v>
      </c>
      <c r="D21" s="40" t="n">
        <v>17406000</v>
      </c>
      <c r="E21" s="40" t="n">
        <v>17400000</v>
      </c>
      <c r="F21" s="40" t="n">
        <v>17400000</v>
      </c>
      <c r="G21" s="40" t="n">
        <v>17196000</v>
      </c>
    </row>
    <row r="22">
      <c r="A22" s="35" t="inlineStr">
        <is>
          <t>FRМРГ-8</t>
        </is>
      </c>
      <c r="B22" s="35" t="inlineStr">
        <is>
          <t>Маргилан</t>
        </is>
      </c>
      <c r="C22" s="40" t="n">
        <v>5148387</v>
      </c>
      <c r="D22" s="40" t="n">
        <v>11400000</v>
      </c>
      <c r="E22" s="40" t="n">
        <v>17500000</v>
      </c>
      <c r="F22" s="40" t="n">
        <v>11400000</v>
      </c>
      <c r="G22" s="40" t="n">
        <v>11100000</v>
      </c>
    </row>
    <row r="23">
      <c r="A23" s="35" t="inlineStr">
        <is>
          <t>FRСМК-53</t>
        </is>
      </c>
      <c r="B23" s="35" t="inlineStr">
        <is>
          <t>Андижанская</t>
        </is>
      </c>
      <c r="C23" s="40" t="n">
        <v>4967742</v>
      </c>
      <c r="D23" s="40" t="n">
        <v>14000000</v>
      </c>
      <c r="E23" s="40" t="n">
        <v>20100000</v>
      </c>
      <c r="F23" s="40" t="n">
        <v>14000000</v>
      </c>
      <c r="G23" s="40" t="n">
        <v>13718000</v>
      </c>
    </row>
    <row r="24">
      <c r="A24" s="37" t="inlineStr">
        <is>
          <t>ИТОГО по сети</t>
        </is>
      </c>
      <c r="B24" s="38" t="inlineStr"/>
      <c r="C24" s="41">
        <f>SUM(C6:C23)</f>
        <v/>
      </c>
      <c r="D24" s="41">
        <f>SUM(D6:D23)</f>
        <v/>
      </c>
      <c r="E24" s="41">
        <f>SUM(E6:E23)</f>
        <v/>
      </c>
      <c r="F24" s="41">
        <f>SUM(F6:F23)</f>
        <v/>
      </c>
      <c r="G24" s="41">
        <f>SUM(G6:G23)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0" min="1" max="1"/>
    <col width="20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  <col width="13" customWidth="1" style="20" min="11" max="11"/>
    <col width="13" customWidth="1" style="20" min="12" max="12"/>
    <col width="13" customWidth="1" style="20" min="13" max="13"/>
    <col width="13" customWidth="1" style="20" min="14" max="14"/>
    <col width="13" customWidth="1" style="20" min="15" max="15"/>
    <col width="13" customWidth="1" style="20" min="16" max="16"/>
    <col width="13" customWidth="1" style="20" min="17" max="17"/>
    <col width="13" customWidth="1" style="20" min="18" max="18"/>
    <col width="13" customWidth="1" style="20" min="19" max="19"/>
    <col width="13" customWidth="1" style="20" min="20" max="20"/>
    <col width="13" customWidth="1" style="20" min="21" max="21"/>
    <col width="13" customWidth="1" style="20" min="22" max="22"/>
    <col width="13" customWidth="1" style="20" min="23" max="23"/>
    <col width="13" customWidth="1" style="20" min="24" max="24"/>
    <col width="13" customWidth="1" style="20" min="25" max="25"/>
    <col width="13" customWidth="1" style="20" min="26" max="26"/>
    <col width="13" customWidth="1" style="20" min="27" max="27"/>
    <col width="13" customWidth="1" style="20" min="28" max="28"/>
  </cols>
  <sheetData>
    <row r="1">
      <c r="A1" s="29" t="inlineStr">
        <is>
          <t>Средние заказы в день по неделям (накопительно)</t>
        </is>
      </c>
    </row>
    <row r="2">
      <c r="A2" s="30" t="inlineStr">
        <is>
          <t>Накопительный архив: полные недели не меняются, последняя неполная — обновляется. Звёздочка = неполная неделя.</t>
        </is>
      </c>
    </row>
    <row r="3" hidden="1" s="20">
      <c r="C3" t="inlineStr">
        <is>
          <t>2026-04-27</t>
        </is>
      </c>
      <c r="D3" t="inlineStr">
        <is>
          <t>2026-05-04</t>
        </is>
      </c>
      <c r="E3" t="inlineStr">
        <is>
          <t>2026-05-11</t>
        </is>
      </c>
      <c r="F3" t="inlineStr">
        <is>
          <t>2026-05-18</t>
        </is>
      </c>
      <c r="G3" t="inlineStr">
        <is>
          <t>2026-05-25</t>
        </is>
      </c>
      <c r="H3" t="inlineStr">
        <is>
          <t>2026-06-01</t>
        </is>
      </c>
      <c r="I3" t="inlineStr">
        <is>
          <t>2026-06-08</t>
        </is>
      </c>
      <c r="J3" t="inlineStr">
        <is>
          <t>2026-06-15</t>
        </is>
      </c>
      <c r="K3" t="inlineStr">
        <is>
          <t>2026-06-22</t>
        </is>
      </c>
      <c r="L3" t="inlineStr">
        <is>
          <t>2026-06-29</t>
        </is>
      </c>
      <c r="M3" t="inlineStr">
        <is>
          <t>2026-07-06</t>
        </is>
      </c>
      <c r="N3" t="inlineStr">
        <is>
          <t>2026-07-13</t>
        </is>
      </c>
      <c r="O3" t="inlineStr">
        <is>
          <t>2026-07-20</t>
        </is>
      </c>
      <c r="P3" t="inlineStr">
        <is>
          <t>2026-07-27</t>
        </is>
      </c>
      <c r="Q3" t="inlineStr">
        <is>
          <t>2026-08-03</t>
        </is>
      </c>
      <c r="R3" t="inlineStr">
        <is>
          <t>2026-08-10</t>
        </is>
      </c>
      <c r="S3" t="inlineStr">
        <is>
          <t>2026-08-17</t>
        </is>
      </c>
      <c r="T3" t="inlineStr">
        <is>
          <t>2026-08-24</t>
        </is>
      </c>
      <c r="U3" t="inlineStr">
        <is>
          <t>2026-08-31</t>
        </is>
      </c>
      <c r="V3" t="inlineStr">
        <is>
          <t>2026-09-07</t>
        </is>
      </c>
      <c r="W3" t="inlineStr">
        <is>
          <t>2026-09-14</t>
        </is>
      </c>
      <c r="X3" t="inlineStr">
        <is>
          <t>2026-09-21</t>
        </is>
      </c>
      <c r="Y3" t="inlineStr">
        <is>
          <t>2026-09-28</t>
        </is>
      </c>
      <c r="Z3" t="inlineStr">
        <is>
          <t>2026-10-05</t>
        </is>
      </c>
      <c r="AA3" t="inlineStr">
        <is>
          <t>2026-10-12</t>
        </is>
      </c>
      <c r="AB3" t="inlineStr">
        <is>
          <t>2026-10-19</t>
        </is>
      </c>
    </row>
    <row r="4">
      <c r="A4" s="31" t="inlineStr">
        <is>
          <t>Код</t>
        </is>
      </c>
      <c r="B4" s="31" t="inlineStr">
        <is>
          <t>AKA</t>
        </is>
      </c>
      <c r="C4" s="31" t="inlineStr">
        <is>
          <t>27.04–03.05*</t>
        </is>
      </c>
      <c r="D4" s="31" t="inlineStr">
        <is>
          <t>04.05–10.05</t>
        </is>
      </c>
      <c r="E4" s="31" t="inlineStr">
        <is>
          <t>11.05–17.05</t>
        </is>
      </c>
      <c r="F4" s="31" t="inlineStr">
        <is>
          <t>18.05–24.05</t>
        </is>
      </c>
      <c r="G4" s="31" t="inlineStr">
        <is>
          <t>25.05–31.05</t>
        </is>
      </c>
      <c r="H4" s="31" t="inlineStr">
        <is>
          <t>01.06–07.06</t>
        </is>
      </c>
      <c r="I4" s="31" t="inlineStr">
        <is>
          <t>08.06–14.06</t>
        </is>
      </c>
      <c r="J4" s="31" t="inlineStr">
        <is>
          <t>15.06–21.06</t>
        </is>
      </c>
      <c r="K4" s="31" t="inlineStr">
        <is>
          <t>22.06–28.06</t>
        </is>
      </c>
      <c r="L4" s="31" t="inlineStr">
        <is>
          <t>29.06–05.07</t>
        </is>
      </c>
      <c r="M4" s="31" t="inlineStr">
        <is>
          <t>06.07–12.07</t>
        </is>
      </c>
      <c r="N4" s="31" t="inlineStr">
        <is>
          <t>13.07–19.07</t>
        </is>
      </c>
      <c r="O4" s="31" t="inlineStr">
        <is>
          <t>20.07–26.07</t>
        </is>
      </c>
      <c r="P4" s="31" t="inlineStr">
        <is>
          <t>27.07–02.08</t>
        </is>
      </c>
      <c r="Q4" s="31" t="inlineStr">
        <is>
          <t>03.08–09.08</t>
        </is>
      </c>
      <c r="R4" s="31" t="inlineStr">
        <is>
          <t>10.08–16.08</t>
        </is>
      </c>
      <c r="S4" s="31" t="inlineStr">
        <is>
          <t>17.08–23.08</t>
        </is>
      </c>
      <c r="T4" s="31" t="inlineStr">
        <is>
          <t>24.08–30.08</t>
        </is>
      </c>
      <c r="U4" s="31" t="inlineStr">
        <is>
          <t>31.08–06.09</t>
        </is>
      </c>
      <c r="V4" s="31" t="inlineStr">
        <is>
          <t>07.09–13.09</t>
        </is>
      </c>
      <c r="W4" s="31" t="inlineStr">
        <is>
          <t>14.09–20.09</t>
        </is>
      </c>
      <c r="X4" s="31" t="inlineStr">
        <is>
          <t>21.09–27.09</t>
        </is>
      </c>
      <c r="Y4" s="31" t="inlineStr">
        <is>
          <t>28.09–04.10</t>
        </is>
      </c>
      <c r="Z4" s="31" t="inlineStr">
        <is>
          <t>05.10–11.10</t>
        </is>
      </c>
      <c r="AA4" s="31" t="inlineStr">
        <is>
          <t>12.10–18.10</t>
        </is>
      </c>
      <c r="AB4" s="31" t="inlineStr">
        <is>
          <t>19.10–25.10*</t>
        </is>
      </c>
    </row>
    <row r="5">
      <c r="A5" s="32" t="inlineStr">
        <is>
          <t>Дней с данными</t>
        </is>
      </c>
      <c r="B5" s="33" t="inlineStr"/>
      <c r="C5" s="34" t="n">
        <v>3</v>
      </c>
      <c r="D5" s="34" t="n">
        <v>7</v>
      </c>
      <c r="E5" s="34" t="n">
        <v>7</v>
      </c>
      <c r="F5" s="34" t="n">
        <v>7</v>
      </c>
      <c r="G5" s="34" t="n">
        <v>7</v>
      </c>
      <c r="H5" s="34" t="n">
        <v>7</v>
      </c>
      <c r="I5" s="34" t="n">
        <v>7</v>
      </c>
      <c r="J5" s="34" t="n">
        <v>7</v>
      </c>
      <c r="K5" s="34" t="n">
        <v>7</v>
      </c>
      <c r="L5" s="34" t="n">
        <v>7</v>
      </c>
      <c r="M5" s="34" t="n">
        <v>7</v>
      </c>
      <c r="N5" s="34" t="n">
        <v>7</v>
      </c>
      <c r="O5" s="34" t="n">
        <v>7</v>
      </c>
      <c r="P5" s="34" t="n">
        <v>7</v>
      </c>
      <c r="Q5" s="34" t="n">
        <v>7</v>
      </c>
      <c r="R5" s="34" t="n">
        <v>7</v>
      </c>
      <c r="S5" s="34" t="n">
        <v>7</v>
      </c>
      <c r="T5" s="34" t="n">
        <v>7</v>
      </c>
      <c r="U5" s="34" t="n">
        <v>7</v>
      </c>
      <c r="V5" s="34" t="n">
        <v>7</v>
      </c>
      <c r="W5" s="34" t="n">
        <v>7</v>
      </c>
      <c r="X5" s="34" t="n">
        <v>7</v>
      </c>
      <c r="Y5" s="34" t="n">
        <v>7</v>
      </c>
      <c r="Z5" s="34" t="n">
        <v>7</v>
      </c>
      <c r="AA5" s="34" t="n">
        <v>7</v>
      </c>
      <c r="AB5" s="34" t="n">
        <v>3</v>
      </c>
    </row>
    <row r="6">
      <c r="A6" s="35" t="inlineStr">
        <is>
          <t>FRТАШ-291</t>
        </is>
      </c>
      <c r="B6" s="35" t="inlineStr">
        <is>
          <t>Бабур</t>
        </is>
      </c>
      <c r="C6" s="36" t="n">
        <v>0</v>
      </c>
      <c r="D6" s="36" t="n">
        <v>10</v>
      </c>
      <c r="E6" s="36" t="n">
        <v>31.14</v>
      </c>
      <c r="F6" s="36" t="n">
        <v>41.14</v>
      </c>
      <c r="G6" s="36" t="n">
        <v>36.43</v>
      </c>
      <c r="H6" s="36" t="n">
        <v>52.71</v>
      </c>
      <c r="I6" s="36" t="n">
        <v>67.43000000000001</v>
      </c>
      <c r="J6" s="36" t="n">
        <v>61.14</v>
      </c>
      <c r="K6" s="36" t="n">
        <v>66.14</v>
      </c>
      <c r="L6" s="36" t="n">
        <v>72</v>
      </c>
      <c r="M6" s="36" t="n">
        <v>72.56999999999999</v>
      </c>
      <c r="N6" s="36" t="n">
        <v>77.86</v>
      </c>
      <c r="O6" s="36" t="n">
        <v>74.56999999999999</v>
      </c>
      <c r="P6" s="36" t="n">
        <v>75.43000000000001</v>
      </c>
      <c r="Q6" s="36" t="n">
        <v>80.56999999999999</v>
      </c>
      <c r="R6" s="36" t="n">
        <v>82.14</v>
      </c>
      <c r="S6" s="36" t="n">
        <v>85.56999999999999</v>
      </c>
      <c r="T6" s="36" t="n">
        <v>79.70999999999999</v>
      </c>
      <c r="U6" s="36" t="n">
        <v>105.86</v>
      </c>
      <c r="V6" s="36" t="n">
        <v>116</v>
      </c>
      <c r="W6" s="36" t="n">
        <v>125.14</v>
      </c>
      <c r="X6" s="36" t="n">
        <v>117.43</v>
      </c>
      <c r="Y6" s="36" t="n">
        <v>128.86</v>
      </c>
      <c r="Z6" s="36" t="n">
        <v>122</v>
      </c>
      <c r="AA6" s="36" t="n">
        <v>120</v>
      </c>
      <c r="AB6" s="36" t="n">
        <v>133</v>
      </c>
    </row>
    <row r="7">
      <c r="A7" s="35" t="inlineStr">
        <is>
          <t>FRТАШ-289</t>
        </is>
      </c>
      <c r="B7" s="35" t="inlineStr">
        <is>
          <t>Афросиаб</t>
        </is>
      </c>
      <c r="C7" s="36" t="n">
        <v>0</v>
      </c>
      <c r="D7" s="36" t="n">
        <v>0</v>
      </c>
      <c r="E7" s="36" t="n">
        <v>7.33</v>
      </c>
      <c r="F7" s="36" t="n">
        <v>17.86</v>
      </c>
      <c r="G7" s="36" t="n">
        <v>22.14</v>
      </c>
      <c r="H7" s="36" t="n">
        <v>24.86</v>
      </c>
      <c r="I7" s="36" t="n">
        <v>36.57</v>
      </c>
      <c r="J7" s="36" t="n">
        <v>38</v>
      </c>
      <c r="K7" s="36" t="n">
        <v>43.86</v>
      </c>
      <c r="L7" s="36" t="n">
        <v>50.14</v>
      </c>
      <c r="M7" s="36" t="n">
        <v>59</v>
      </c>
      <c r="N7" s="36" t="n">
        <v>53.71</v>
      </c>
      <c r="O7" s="36" t="n">
        <v>46.57</v>
      </c>
      <c r="P7" s="36" t="n">
        <v>49.29</v>
      </c>
      <c r="Q7" s="36" t="n">
        <v>65.56999999999999</v>
      </c>
      <c r="R7" s="36" t="n">
        <v>67.29000000000001</v>
      </c>
      <c r="S7" s="36" t="n">
        <v>61</v>
      </c>
      <c r="T7" s="36" t="n">
        <v>64.43000000000001</v>
      </c>
      <c r="U7" s="36" t="n">
        <v>68</v>
      </c>
      <c r="V7" s="36" t="n">
        <v>77.56999999999999</v>
      </c>
      <c r="W7" s="36" t="n">
        <v>71</v>
      </c>
      <c r="X7" s="36" t="n">
        <v>68.43000000000001</v>
      </c>
      <c r="Y7" s="36" t="n">
        <v>78.43000000000001</v>
      </c>
      <c r="Z7" s="36" t="n">
        <v>78.17</v>
      </c>
      <c r="AA7" s="36" t="n">
        <v>78.56999999999999</v>
      </c>
      <c r="AB7" s="36" t="n">
        <v>95.33</v>
      </c>
    </row>
    <row r="8">
      <c r="A8" s="35" t="inlineStr">
        <is>
          <t>FRТАШ-290</t>
        </is>
      </c>
      <c r="B8" s="35" t="inlineStr">
        <is>
          <t>Буз-1</t>
        </is>
      </c>
      <c r="C8" s="36" t="n">
        <v>0</v>
      </c>
      <c r="D8" s="36" t="n">
        <v>11</v>
      </c>
      <c r="E8" s="36" t="n">
        <v>29.43</v>
      </c>
      <c r="F8" s="36" t="n">
        <v>38</v>
      </c>
      <c r="G8" s="36" t="n">
        <v>41.29</v>
      </c>
      <c r="H8" s="36" t="n">
        <v>51.43</v>
      </c>
      <c r="I8" s="36" t="n">
        <v>58.29</v>
      </c>
      <c r="J8" s="36" t="n">
        <v>63</v>
      </c>
      <c r="K8" s="36" t="n">
        <v>55.43</v>
      </c>
      <c r="L8" s="36" t="n">
        <v>69.56999999999999</v>
      </c>
      <c r="M8" s="36" t="n">
        <v>66.43000000000001</v>
      </c>
      <c r="N8" s="36" t="n">
        <v>76.86</v>
      </c>
      <c r="O8" s="36" t="n">
        <v>64.29000000000001</v>
      </c>
      <c r="P8" s="36" t="n">
        <v>71.43000000000001</v>
      </c>
      <c r="Q8" s="36" t="n">
        <v>78.86</v>
      </c>
      <c r="R8" s="36" t="n">
        <v>78.43000000000001</v>
      </c>
      <c r="S8" s="36" t="n">
        <v>72.43000000000001</v>
      </c>
      <c r="T8" s="36" t="n">
        <v>92.14</v>
      </c>
      <c r="U8" s="36" t="n">
        <v>91</v>
      </c>
      <c r="V8" s="36" t="n">
        <v>85.43000000000001</v>
      </c>
      <c r="W8" s="36" t="n">
        <v>88.56999999999999</v>
      </c>
      <c r="X8" s="36" t="n">
        <v>80.70999999999999</v>
      </c>
      <c r="Y8" s="36" t="n">
        <v>101.29</v>
      </c>
      <c r="Z8" s="36" t="n">
        <v>76.14</v>
      </c>
      <c r="AA8" s="36" t="n">
        <v>90.14</v>
      </c>
      <c r="AB8" s="36" t="n">
        <v>92</v>
      </c>
    </row>
    <row r="9">
      <c r="A9" s="35" t="inlineStr">
        <is>
          <t>FRТАШ-292</t>
        </is>
      </c>
      <c r="B9" s="35" t="inlineStr">
        <is>
          <t>Спутник</t>
        </is>
      </c>
      <c r="C9" s="36" t="n">
        <v>0</v>
      </c>
      <c r="D9" s="36" t="n">
        <v>7.25</v>
      </c>
      <c r="E9" s="36" t="n">
        <v>18.71</v>
      </c>
      <c r="F9" s="36" t="n">
        <v>21.57</v>
      </c>
      <c r="G9" s="36" t="n">
        <v>30.29</v>
      </c>
      <c r="H9" s="36" t="n">
        <v>38</v>
      </c>
      <c r="I9" s="36" t="n">
        <v>39.71</v>
      </c>
      <c r="J9" s="36" t="n">
        <v>41.71</v>
      </c>
      <c r="K9" s="36" t="n">
        <v>35.14</v>
      </c>
      <c r="L9" s="36" t="n">
        <v>41</v>
      </c>
      <c r="M9" s="36" t="n">
        <v>48</v>
      </c>
      <c r="N9" s="36" t="n">
        <v>49.43</v>
      </c>
      <c r="O9" s="36" t="n">
        <v>45.57</v>
      </c>
      <c r="P9" s="36" t="n">
        <v>43</v>
      </c>
      <c r="Q9" s="36" t="n">
        <v>46.57</v>
      </c>
      <c r="R9" s="36" t="n">
        <v>48.43</v>
      </c>
      <c r="S9" s="36" t="n">
        <v>38.29</v>
      </c>
      <c r="T9" s="36" t="n">
        <v>50.14</v>
      </c>
      <c r="U9" s="36" t="n">
        <v>48.86</v>
      </c>
      <c r="V9" s="36" t="n">
        <v>49.57</v>
      </c>
      <c r="W9" s="36" t="n">
        <v>49.86</v>
      </c>
      <c r="X9" s="36" t="n">
        <v>50.86</v>
      </c>
      <c r="Y9" s="36" t="n">
        <v>60.14</v>
      </c>
      <c r="Z9" s="36" t="n">
        <v>41.43</v>
      </c>
      <c r="AA9" s="36" t="n">
        <v>57.14</v>
      </c>
      <c r="AB9" s="36" t="n">
        <v>67.33</v>
      </c>
    </row>
    <row r="10">
      <c r="A10" s="35" t="inlineStr">
        <is>
          <t>FRТАШ-294</t>
        </is>
      </c>
      <c r="B10" s="35" t="inlineStr">
        <is>
          <t>Шастри</t>
        </is>
      </c>
      <c r="C10" s="36" t="n">
        <v>16.33</v>
      </c>
      <c r="D10" s="36" t="n">
        <v>14.29</v>
      </c>
      <c r="E10" s="36" t="n">
        <v>19.14</v>
      </c>
      <c r="F10" s="36" t="n">
        <v>26.71</v>
      </c>
      <c r="G10" s="36" t="n">
        <v>28.14</v>
      </c>
      <c r="H10" s="36" t="n">
        <v>28.57</v>
      </c>
      <c r="I10" s="36" t="n">
        <v>31.57</v>
      </c>
      <c r="J10" s="36" t="n">
        <v>33</v>
      </c>
      <c r="K10" s="36" t="n">
        <v>34.86</v>
      </c>
      <c r="L10" s="36" t="n">
        <v>41.29</v>
      </c>
      <c r="M10" s="36" t="n">
        <v>41.43</v>
      </c>
      <c r="N10" s="36" t="n">
        <v>46.14</v>
      </c>
      <c r="O10" s="36" t="n">
        <v>41.57</v>
      </c>
      <c r="P10" s="36" t="n">
        <v>51.86</v>
      </c>
      <c r="Q10" s="36" t="n">
        <v>48.71</v>
      </c>
      <c r="R10" s="36" t="n">
        <v>45.14</v>
      </c>
      <c r="S10" s="36" t="n">
        <v>50.71</v>
      </c>
      <c r="T10" s="36" t="n">
        <v>60.71</v>
      </c>
      <c r="U10" s="36" t="n">
        <v>66.86</v>
      </c>
      <c r="V10" s="36" t="n">
        <v>63.29</v>
      </c>
      <c r="W10" s="36" t="n">
        <v>65.29000000000001</v>
      </c>
      <c r="X10" s="36" t="n">
        <v>61.43</v>
      </c>
      <c r="Y10" s="36" t="n">
        <v>66.29000000000001</v>
      </c>
      <c r="Z10" s="36" t="n">
        <v>50.86</v>
      </c>
      <c r="AA10" s="36" t="n">
        <v>63.71</v>
      </c>
      <c r="AB10" s="36" t="n">
        <v>55.33</v>
      </c>
    </row>
    <row r="11">
      <c r="A11" s="35" t="inlineStr">
        <is>
          <t>FRБХР-30</t>
        </is>
      </c>
      <c r="B11" s="35" t="inlineStr">
        <is>
          <t>Бухара</t>
        </is>
      </c>
      <c r="C11" s="36" t="n">
        <v>2</v>
      </c>
      <c r="D11" s="36" t="n">
        <v>8.43</v>
      </c>
      <c r="E11" s="36" t="n">
        <v>13.43</v>
      </c>
      <c r="F11" s="36" t="n">
        <v>21.71</v>
      </c>
      <c r="G11" s="36" t="n">
        <v>16.57</v>
      </c>
      <c r="H11" s="36" t="n">
        <v>21.29</v>
      </c>
      <c r="I11" s="36" t="n">
        <v>21.14</v>
      </c>
      <c r="J11" s="36" t="n">
        <v>23.29</v>
      </c>
      <c r="K11" s="36" t="n">
        <v>22.43</v>
      </c>
      <c r="L11" s="36" t="n">
        <v>22.43</v>
      </c>
      <c r="M11" s="36" t="n">
        <v>28.14</v>
      </c>
      <c r="N11" s="36" t="n">
        <v>31.14</v>
      </c>
      <c r="O11" s="36" t="n">
        <v>30</v>
      </c>
      <c r="P11" s="36" t="n">
        <v>30.43</v>
      </c>
      <c r="Q11" s="36" t="n">
        <v>31.29</v>
      </c>
      <c r="R11" s="36" t="n">
        <v>36.14</v>
      </c>
      <c r="S11" s="36" t="n">
        <v>31</v>
      </c>
      <c r="T11" s="36" t="n">
        <v>37.71</v>
      </c>
      <c r="U11" s="36" t="n">
        <v>39.29</v>
      </c>
      <c r="V11" s="36" t="n">
        <v>45.86</v>
      </c>
      <c r="W11" s="36" t="n">
        <v>45.14</v>
      </c>
      <c r="X11" s="36" t="n">
        <v>41.86</v>
      </c>
      <c r="Y11" s="36" t="n">
        <v>48</v>
      </c>
      <c r="Z11" s="36" t="n">
        <v>40</v>
      </c>
      <c r="AA11" s="36" t="n">
        <v>51.14</v>
      </c>
      <c r="AB11" s="36" t="n">
        <v>47</v>
      </c>
    </row>
    <row r="12">
      <c r="A12" s="35" t="inlineStr">
        <is>
          <t>FRТАШ-293</t>
        </is>
      </c>
      <c r="B12" s="35" t="inlineStr">
        <is>
          <t>Кургантепа</t>
        </is>
      </c>
      <c r="C12" s="36" t="n">
        <v>0</v>
      </c>
      <c r="D12" s="36" t="n">
        <v>0</v>
      </c>
      <c r="E12" s="36" t="n">
        <v>8</v>
      </c>
      <c r="F12" s="36" t="n">
        <v>13.14</v>
      </c>
      <c r="G12" s="36" t="n">
        <v>19.43</v>
      </c>
      <c r="H12" s="36" t="n">
        <v>26.43</v>
      </c>
      <c r="I12" s="36" t="n">
        <v>32.29</v>
      </c>
      <c r="J12" s="36" t="n">
        <v>31.29</v>
      </c>
      <c r="K12" s="36" t="n">
        <v>33.57</v>
      </c>
      <c r="L12" s="36" t="n">
        <v>40</v>
      </c>
      <c r="M12" s="36" t="n">
        <v>42.43</v>
      </c>
      <c r="N12" s="36" t="n">
        <v>38.57</v>
      </c>
      <c r="O12" s="36" t="n">
        <v>34.29</v>
      </c>
      <c r="P12" s="36" t="n">
        <v>37.86</v>
      </c>
      <c r="Q12" s="36" t="n">
        <v>42.86</v>
      </c>
      <c r="R12" s="36" t="n">
        <v>40.71</v>
      </c>
      <c r="S12" s="36" t="n">
        <v>45.43</v>
      </c>
      <c r="T12" s="36" t="n">
        <v>44.57</v>
      </c>
      <c r="U12" s="36" t="n">
        <v>55.29</v>
      </c>
      <c r="V12" s="36" t="n">
        <v>46.29</v>
      </c>
      <c r="W12" s="36" t="n">
        <v>43.71</v>
      </c>
      <c r="X12" s="36" t="n">
        <v>49.57</v>
      </c>
      <c r="Y12" s="36" t="n">
        <v>47.86</v>
      </c>
      <c r="Z12" s="36" t="n">
        <v>46</v>
      </c>
      <c r="AA12" s="36" t="n">
        <v>45.14</v>
      </c>
      <c r="AB12" s="36" t="n">
        <v>46.33</v>
      </c>
    </row>
    <row r="13">
      <c r="A13" s="35" t="inlineStr">
        <is>
          <t>FRАЛМ-9</t>
        </is>
      </c>
      <c r="B13" s="35" t="inlineStr">
        <is>
          <t>Алмалык Амир Т</t>
        </is>
      </c>
      <c r="C13" s="36" t="n">
        <v>0</v>
      </c>
      <c r="D13" s="36" t="n">
        <v>1.67</v>
      </c>
      <c r="E13" s="36" t="n">
        <v>12.14</v>
      </c>
      <c r="F13" s="36" t="n">
        <v>16.57</v>
      </c>
      <c r="G13" s="36" t="n">
        <v>21</v>
      </c>
      <c r="H13" s="36" t="n">
        <v>20.29</v>
      </c>
      <c r="I13" s="36" t="n">
        <v>28.57</v>
      </c>
      <c r="J13" s="36" t="n">
        <v>24.14</v>
      </c>
      <c r="K13" s="36" t="n">
        <v>27.57</v>
      </c>
      <c r="L13" s="36" t="n">
        <v>28.14</v>
      </c>
      <c r="M13" s="36" t="n">
        <v>28.86</v>
      </c>
      <c r="N13" s="36" t="n">
        <v>33.14</v>
      </c>
      <c r="O13" s="36" t="n">
        <v>30.71</v>
      </c>
      <c r="P13" s="36" t="n">
        <v>31.14</v>
      </c>
      <c r="Q13" s="36" t="n">
        <v>40.29</v>
      </c>
      <c r="R13" s="36" t="n">
        <v>38.71</v>
      </c>
      <c r="S13" s="36" t="n">
        <v>43.14</v>
      </c>
      <c r="T13" s="36" t="n">
        <v>37</v>
      </c>
      <c r="U13" s="36" t="n">
        <v>46.29</v>
      </c>
      <c r="V13" s="36" t="n">
        <v>43.14</v>
      </c>
      <c r="W13" s="36" t="n">
        <v>36.86</v>
      </c>
      <c r="X13" s="36" t="n">
        <v>33.43</v>
      </c>
      <c r="Y13" s="36" t="n">
        <v>48</v>
      </c>
      <c r="Z13" s="36" t="n">
        <v>39.86</v>
      </c>
      <c r="AA13" s="36" t="n">
        <v>37.14</v>
      </c>
      <c r="AB13" s="36" t="n">
        <v>46</v>
      </c>
    </row>
    <row r="14">
      <c r="A14" s="35" t="inlineStr">
        <is>
          <t>FRСМК-52</t>
        </is>
      </c>
      <c r="B14" s="35" t="inlineStr">
        <is>
          <t>Рудаки</t>
        </is>
      </c>
      <c r="C14" s="36" t="n">
        <v>0</v>
      </c>
      <c r="D14" s="36" t="n">
        <v>6.67</v>
      </c>
      <c r="E14" s="36" t="n">
        <v>11.29</v>
      </c>
      <c r="F14" s="36" t="n">
        <v>10.57</v>
      </c>
      <c r="G14" s="36" t="n">
        <v>11.14</v>
      </c>
      <c r="H14" s="36" t="n">
        <v>13.86</v>
      </c>
      <c r="I14" s="36" t="n">
        <v>18</v>
      </c>
      <c r="J14" s="36" t="n">
        <v>18</v>
      </c>
      <c r="K14" s="36" t="n">
        <v>17.43</v>
      </c>
      <c r="L14" s="36" t="n">
        <v>15.29</v>
      </c>
      <c r="M14" s="36" t="n">
        <v>24.43</v>
      </c>
      <c r="N14" s="36" t="n">
        <v>24.71</v>
      </c>
      <c r="O14" s="36" t="n">
        <v>25.57</v>
      </c>
      <c r="P14" s="36" t="n">
        <v>19.29</v>
      </c>
      <c r="Q14" s="36" t="n">
        <v>25.43</v>
      </c>
      <c r="R14" s="36" t="n">
        <v>22.57</v>
      </c>
      <c r="S14" s="36" t="n">
        <v>21.29</v>
      </c>
      <c r="T14" s="36" t="n">
        <v>29.14</v>
      </c>
      <c r="U14" s="36" t="n">
        <v>31.43</v>
      </c>
      <c r="V14" s="36" t="n">
        <v>35.71</v>
      </c>
      <c r="W14" s="36" t="n">
        <v>40.71</v>
      </c>
      <c r="X14" s="36" t="n">
        <v>46.86</v>
      </c>
      <c r="Y14" s="36" t="n">
        <v>44.71</v>
      </c>
      <c r="Z14" s="36" t="n">
        <v>37</v>
      </c>
      <c r="AA14" s="36" t="n">
        <v>52.57</v>
      </c>
      <c r="AB14" s="36" t="n">
        <v>44.67</v>
      </c>
    </row>
    <row r="15">
      <c r="A15" s="35" t="inlineStr">
        <is>
          <t>FRТАШ-308</t>
        </is>
      </c>
      <c r="B15" s="35" t="inlineStr">
        <is>
          <t>Янгиюнусабад</t>
        </is>
      </c>
      <c r="C15" s="36" t="n">
        <v>1.5</v>
      </c>
      <c r="D15" s="36" t="n">
        <v>9.140000000000001</v>
      </c>
      <c r="E15" s="36" t="n">
        <v>11</v>
      </c>
      <c r="F15" s="36" t="n">
        <v>14.43</v>
      </c>
      <c r="G15" s="36" t="n">
        <v>11.86</v>
      </c>
      <c r="H15" s="36" t="n">
        <v>18</v>
      </c>
      <c r="I15" s="36" t="n">
        <v>19.14</v>
      </c>
      <c r="J15" s="36" t="n">
        <v>21</v>
      </c>
      <c r="K15" s="36" t="n">
        <v>23.43</v>
      </c>
      <c r="L15" s="36" t="n">
        <v>20.43</v>
      </c>
      <c r="M15" s="36" t="n">
        <v>24.57</v>
      </c>
      <c r="N15" s="36" t="n">
        <v>24.14</v>
      </c>
      <c r="O15" s="36" t="n">
        <v>24.43</v>
      </c>
      <c r="P15" s="36" t="n">
        <v>22</v>
      </c>
      <c r="Q15" s="36" t="n">
        <v>23</v>
      </c>
      <c r="R15" s="36" t="n">
        <v>18.43</v>
      </c>
      <c r="S15" s="36" t="n">
        <v>24.71</v>
      </c>
      <c r="T15" s="36" t="n">
        <v>27.57</v>
      </c>
      <c r="U15" s="36" t="n">
        <v>30</v>
      </c>
      <c r="V15" s="36" t="n">
        <v>28.57</v>
      </c>
      <c r="W15" s="36" t="n">
        <v>30.14</v>
      </c>
      <c r="X15" s="36" t="n">
        <v>34.43</v>
      </c>
      <c r="Y15" s="36" t="n">
        <v>33.43</v>
      </c>
      <c r="Z15" s="36" t="n">
        <v>32</v>
      </c>
      <c r="AA15" s="36" t="n">
        <v>31.29</v>
      </c>
      <c r="AB15" s="36" t="n">
        <v>44</v>
      </c>
    </row>
    <row r="16">
      <c r="A16" s="35" t="inlineStr">
        <is>
          <t>FRБУК-2</t>
        </is>
      </c>
      <c r="B16" s="35" t="inlineStr">
        <is>
          <t>Бука</t>
        </is>
      </c>
      <c r="C16" s="36" t="n">
        <v>0</v>
      </c>
      <c r="D16" s="36" t="n">
        <v>3</v>
      </c>
      <c r="E16" s="36" t="n">
        <v>7.14</v>
      </c>
      <c r="F16" s="36" t="n">
        <v>13.43</v>
      </c>
      <c r="G16" s="36" t="n">
        <v>12.71</v>
      </c>
      <c r="H16" s="36" t="n">
        <v>14.43</v>
      </c>
      <c r="I16" s="36" t="n">
        <v>19</v>
      </c>
      <c r="J16" s="36" t="n">
        <v>21.14</v>
      </c>
      <c r="K16" s="36" t="n">
        <v>18.57</v>
      </c>
      <c r="L16" s="36" t="n">
        <v>16.57</v>
      </c>
      <c r="M16" s="36" t="n">
        <v>14.71</v>
      </c>
      <c r="N16" s="36" t="n">
        <v>19.14</v>
      </c>
      <c r="O16" s="36" t="n">
        <v>18</v>
      </c>
      <c r="P16" s="36" t="n">
        <v>15.29</v>
      </c>
      <c r="Q16" s="36" t="n">
        <v>15.29</v>
      </c>
      <c r="R16" s="36" t="n">
        <v>18.71</v>
      </c>
      <c r="S16" s="36" t="n">
        <v>18</v>
      </c>
      <c r="T16" s="36" t="n">
        <v>25.29</v>
      </c>
      <c r="U16" s="36" t="n">
        <v>28.86</v>
      </c>
      <c r="V16" s="36" t="n">
        <v>24</v>
      </c>
      <c r="W16" s="36" t="n">
        <v>29.29</v>
      </c>
      <c r="X16" s="36" t="n">
        <v>31.71</v>
      </c>
      <c r="Y16" s="36" t="n">
        <v>27</v>
      </c>
      <c r="Z16" s="36" t="n">
        <v>23.83</v>
      </c>
      <c r="AA16" s="36" t="n">
        <v>34.71</v>
      </c>
      <c r="AB16" s="36" t="n">
        <v>34</v>
      </c>
    </row>
    <row r="17">
      <c r="A17" s="35" t="inlineStr">
        <is>
          <t>FRГАЗ-4</t>
        </is>
      </c>
      <c r="B17" s="35" t="inlineStr">
        <is>
          <t>Газалкент</t>
        </is>
      </c>
      <c r="C17" s="36" t="n">
        <v>2.5</v>
      </c>
      <c r="D17" s="36" t="n">
        <v>9.43</v>
      </c>
      <c r="E17" s="36" t="n">
        <v>12.43</v>
      </c>
      <c r="F17" s="36" t="n">
        <v>13.29</v>
      </c>
      <c r="G17" s="36" t="n">
        <v>14.71</v>
      </c>
      <c r="H17" s="36" t="n">
        <v>17</v>
      </c>
      <c r="I17" s="36" t="n">
        <v>19.71</v>
      </c>
      <c r="J17" s="36" t="n">
        <v>17.71</v>
      </c>
      <c r="K17" s="36" t="n">
        <v>19.57</v>
      </c>
      <c r="L17" s="36" t="n">
        <v>24.14</v>
      </c>
      <c r="M17" s="36" t="n">
        <v>27.57</v>
      </c>
      <c r="N17" s="36" t="n">
        <v>24.43</v>
      </c>
      <c r="O17" s="36" t="n">
        <v>27.29</v>
      </c>
      <c r="P17" s="36" t="n">
        <v>26.57</v>
      </c>
      <c r="Q17" s="36" t="n">
        <v>25.57</v>
      </c>
      <c r="R17" s="36" t="n">
        <v>29</v>
      </c>
      <c r="S17" s="36" t="n">
        <v>27.71</v>
      </c>
      <c r="T17" s="36" t="n">
        <v>32.57</v>
      </c>
      <c r="U17" s="36" t="n">
        <v>31.57</v>
      </c>
      <c r="V17" s="36" t="n">
        <v>29.57</v>
      </c>
      <c r="W17" s="36" t="n">
        <v>29.86</v>
      </c>
      <c r="X17" s="36" t="n">
        <v>32</v>
      </c>
      <c r="Y17" s="36" t="n">
        <v>32.14</v>
      </c>
      <c r="Z17" s="36" t="n">
        <v>27.14</v>
      </c>
      <c r="AA17" s="36" t="n">
        <v>36.43</v>
      </c>
      <c r="AB17" s="36" t="n">
        <v>33.67</v>
      </c>
    </row>
    <row r="18">
      <c r="A18" s="35" t="inlineStr">
        <is>
          <t>FRАЛМ-10</t>
        </is>
      </c>
      <c r="B18" s="35" t="inlineStr">
        <is>
          <t>Алмалык Мустакилик</t>
        </is>
      </c>
      <c r="C18" s="36" t="n">
        <v>0</v>
      </c>
      <c r="D18" s="36" t="n">
        <v>3.33</v>
      </c>
      <c r="E18" s="36" t="n">
        <v>6.43</v>
      </c>
      <c r="F18" s="36" t="n">
        <v>8.140000000000001</v>
      </c>
      <c r="G18" s="36" t="n">
        <v>9.140000000000001</v>
      </c>
      <c r="H18" s="36" t="n">
        <v>14</v>
      </c>
      <c r="I18" s="36" t="n">
        <v>17.14</v>
      </c>
      <c r="J18" s="36" t="n">
        <v>16.14</v>
      </c>
      <c r="K18" s="36" t="n">
        <v>18.57</v>
      </c>
      <c r="L18" s="36" t="n">
        <v>16.14</v>
      </c>
      <c r="M18" s="36" t="n">
        <v>21.71</v>
      </c>
      <c r="N18" s="36" t="n">
        <v>20.86</v>
      </c>
      <c r="O18" s="36" t="n">
        <v>20.86</v>
      </c>
      <c r="P18" s="36" t="n">
        <v>21.86</v>
      </c>
      <c r="Q18" s="36" t="n">
        <v>28.71</v>
      </c>
      <c r="R18" s="36" t="n">
        <v>24.71</v>
      </c>
      <c r="S18" s="36" t="n">
        <v>24.57</v>
      </c>
      <c r="T18" s="36" t="n">
        <v>25.29</v>
      </c>
      <c r="U18" s="36" t="n">
        <v>26.71</v>
      </c>
      <c r="V18" s="36" t="n">
        <v>27.57</v>
      </c>
      <c r="W18" s="36" t="n">
        <v>28.29</v>
      </c>
      <c r="X18" s="36" t="n">
        <v>21.29</v>
      </c>
      <c r="Y18" s="36" t="n">
        <v>27</v>
      </c>
      <c r="Z18" s="36" t="n">
        <v>25.43</v>
      </c>
      <c r="AA18" s="36" t="n">
        <v>30.29</v>
      </c>
      <c r="AB18" s="36" t="n">
        <v>31.33</v>
      </c>
    </row>
    <row r="19">
      <c r="A19" s="35" t="inlineStr">
        <is>
          <t>FRСМК-53</t>
        </is>
      </c>
      <c r="B19" s="35" t="inlineStr">
        <is>
          <t>Андижанская</t>
        </is>
      </c>
      <c r="C19" s="36" t="n">
        <v>0</v>
      </c>
      <c r="D19" s="36" t="n">
        <v>0</v>
      </c>
      <c r="E19" s="36" t="n">
        <v>0</v>
      </c>
      <c r="F19" s="36" t="n">
        <v>0.5</v>
      </c>
      <c r="G19" s="36" t="n">
        <v>3.33</v>
      </c>
      <c r="H19" s="36" t="n">
        <v>11.71</v>
      </c>
      <c r="I19" s="36" t="n">
        <v>17.57</v>
      </c>
      <c r="J19" s="36" t="n">
        <v>20.43</v>
      </c>
      <c r="K19" s="36" t="n">
        <v>21.71</v>
      </c>
      <c r="L19" s="36" t="n">
        <v>15</v>
      </c>
      <c r="M19" s="36" t="n">
        <v>22.71</v>
      </c>
      <c r="N19" s="36" t="n">
        <v>22.43</v>
      </c>
      <c r="O19" s="36" t="n">
        <v>20.14</v>
      </c>
      <c r="P19" s="36" t="n">
        <v>15.71</v>
      </c>
      <c r="Q19" s="36" t="n">
        <v>19.43</v>
      </c>
      <c r="R19" s="36" t="n">
        <v>20.29</v>
      </c>
      <c r="S19" s="36" t="n">
        <v>22.29</v>
      </c>
      <c r="T19" s="36" t="n">
        <v>21.29</v>
      </c>
      <c r="U19" s="36" t="n">
        <v>25.14</v>
      </c>
      <c r="V19" s="36" t="n">
        <v>23.57</v>
      </c>
      <c r="W19" s="36" t="n">
        <v>26.29</v>
      </c>
      <c r="X19" s="36" t="n">
        <v>26.43</v>
      </c>
      <c r="Y19" s="36" t="n">
        <v>23.71</v>
      </c>
      <c r="Z19" s="36" t="n">
        <v>22</v>
      </c>
      <c r="AA19" s="36" t="n">
        <v>29</v>
      </c>
      <c r="AB19" s="36" t="n">
        <v>29.67</v>
      </c>
    </row>
    <row r="20">
      <c r="A20" s="35" t="inlineStr">
        <is>
          <t>FRПСК-2</t>
        </is>
      </c>
      <c r="B20" s="35" t="inlineStr">
        <is>
          <t>Пскент</t>
        </is>
      </c>
      <c r="C20" s="36" t="n">
        <v>0</v>
      </c>
      <c r="D20" s="36" t="n">
        <v>0</v>
      </c>
      <c r="E20" s="36" t="n">
        <v>0</v>
      </c>
      <c r="F20" s="36" t="n">
        <v>3.25</v>
      </c>
      <c r="G20" s="36" t="n">
        <v>8</v>
      </c>
      <c r="H20" s="36" t="n">
        <v>9.43</v>
      </c>
      <c r="I20" s="36" t="n">
        <v>12.71</v>
      </c>
      <c r="J20" s="36" t="n">
        <v>11.57</v>
      </c>
      <c r="K20" s="36" t="n">
        <v>9.859999999999999</v>
      </c>
      <c r="L20" s="36" t="n">
        <v>11.86</v>
      </c>
      <c r="M20" s="36" t="n">
        <v>9.710000000000001</v>
      </c>
      <c r="N20" s="36" t="n">
        <v>19</v>
      </c>
      <c r="O20" s="36" t="n">
        <v>19.57</v>
      </c>
      <c r="P20" s="36" t="n">
        <v>16.86</v>
      </c>
      <c r="Q20" s="36" t="n">
        <v>15</v>
      </c>
      <c r="R20" s="36" t="n">
        <v>14.71</v>
      </c>
      <c r="S20" s="36" t="n">
        <v>15.86</v>
      </c>
      <c r="T20" s="36" t="n">
        <v>25</v>
      </c>
      <c r="U20" s="36" t="n">
        <v>27.29</v>
      </c>
      <c r="V20" s="36" t="n">
        <v>17.14</v>
      </c>
      <c r="W20" s="36" t="n">
        <v>22.14</v>
      </c>
      <c r="X20" s="36" t="n">
        <v>23.43</v>
      </c>
      <c r="Y20" s="36" t="n">
        <v>24.14</v>
      </c>
      <c r="Z20" s="36" t="n">
        <v>16.43</v>
      </c>
      <c r="AA20" s="36" t="n">
        <v>25.29</v>
      </c>
      <c r="AB20" s="36" t="n">
        <v>28.67</v>
      </c>
    </row>
    <row r="21">
      <c r="A21" s="35" t="inlineStr">
        <is>
          <t>FRТАШ-319</t>
        </is>
      </c>
      <c r="B21" s="35" t="inlineStr">
        <is>
          <t>Баку</t>
        </is>
      </c>
      <c r="C21" s="36" t="n">
        <v>0</v>
      </c>
      <c r="D21" s="36" t="n">
        <v>7</v>
      </c>
      <c r="E21" s="36" t="n">
        <v>16</v>
      </c>
      <c r="F21" s="36" t="n">
        <v>19.43</v>
      </c>
      <c r="G21" s="36" t="n">
        <v>15.86</v>
      </c>
      <c r="H21" s="36" t="n">
        <v>14.86</v>
      </c>
      <c r="I21" s="36" t="n">
        <v>16.71</v>
      </c>
      <c r="J21" s="36" t="n">
        <v>19.71</v>
      </c>
      <c r="K21" s="36" t="n">
        <v>16.86</v>
      </c>
      <c r="L21" s="36" t="n">
        <v>24.86</v>
      </c>
      <c r="M21" s="36" t="n">
        <v>23.43</v>
      </c>
      <c r="N21" s="36" t="n">
        <v>19.43</v>
      </c>
      <c r="O21" s="36" t="n">
        <v>25.57</v>
      </c>
      <c r="P21" s="36" t="n">
        <v>27.43</v>
      </c>
      <c r="Q21" s="36" t="n">
        <v>29.14</v>
      </c>
      <c r="R21" s="36" t="n">
        <v>25</v>
      </c>
      <c r="S21" s="36" t="n">
        <v>29.57</v>
      </c>
      <c r="T21" s="36" t="n">
        <v>29.43</v>
      </c>
      <c r="U21" s="36" t="n">
        <v>21</v>
      </c>
      <c r="V21" s="36" t="n">
        <v>27.14</v>
      </c>
      <c r="W21" s="36" t="n">
        <v>25.57</v>
      </c>
      <c r="X21" s="36" t="n">
        <v>30.29</v>
      </c>
      <c r="Y21" s="36" t="n">
        <v>26.57</v>
      </c>
      <c r="Z21" s="36" t="n">
        <v>22.86</v>
      </c>
      <c r="AA21" s="36" t="n">
        <v>27.43</v>
      </c>
      <c r="AB21" s="36" t="n">
        <v>25</v>
      </c>
    </row>
    <row r="22">
      <c r="A22" s="35" t="inlineStr">
        <is>
          <t>FRТАШ-307</t>
        </is>
      </c>
      <c r="B22" s="35" t="inlineStr">
        <is>
          <t>Крестик</t>
        </is>
      </c>
      <c r="C22" s="36" t="n">
        <v>2</v>
      </c>
      <c r="D22" s="36" t="n">
        <v>2</v>
      </c>
      <c r="E22" s="36" t="n">
        <v>4</v>
      </c>
      <c r="F22" s="36" t="n">
        <v>5.14</v>
      </c>
      <c r="G22" s="36" t="n">
        <v>5.29</v>
      </c>
      <c r="H22" s="36" t="n">
        <v>7.86</v>
      </c>
      <c r="I22" s="36" t="n">
        <v>7.14</v>
      </c>
      <c r="J22" s="36" t="n">
        <v>8.289999999999999</v>
      </c>
      <c r="K22" s="36" t="n">
        <v>7.14</v>
      </c>
      <c r="L22" s="36" t="n">
        <v>8.289999999999999</v>
      </c>
      <c r="M22" s="36" t="n">
        <v>9.710000000000001</v>
      </c>
      <c r="N22" s="36" t="n">
        <v>8.710000000000001</v>
      </c>
      <c r="O22" s="36" t="n">
        <v>5</v>
      </c>
      <c r="P22" s="36" t="n">
        <v>9.710000000000001</v>
      </c>
      <c r="Q22" s="36" t="n">
        <v>9.289999999999999</v>
      </c>
      <c r="R22" s="36" t="n">
        <v>9.289999999999999</v>
      </c>
      <c r="S22" s="36" t="n">
        <v>8</v>
      </c>
      <c r="T22" s="36" t="n">
        <v>6.86</v>
      </c>
      <c r="U22" s="36" t="n">
        <v>12.14</v>
      </c>
      <c r="V22" s="36" t="n">
        <v>8.140000000000001</v>
      </c>
      <c r="W22" s="36" t="n">
        <v>13</v>
      </c>
      <c r="X22" s="36" t="n">
        <v>9.140000000000001</v>
      </c>
      <c r="Y22" s="36" t="n">
        <v>11.71</v>
      </c>
      <c r="Z22" s="36" t="n">
        <v>8</v>
      </c>
      <c r="AA22" s="36" t="n">
        <v>8</v>
      </c>
      <c r="AB22" s="36" t="n">
        <v>10.33</v>
      </c>
    </row>
    <row r="23">
      <c r="A23" s="35" t="inlineStr">
        <is>
          <t>FRМРГ-8</t>
        </is>
      </c>
      <c r="B23" s="35" t="inlineStr">
        <is>
          <t>Маргилан</t>
        </is>
      </c>
      <c r="C23" s="36" t="n">
        <v>0</v>
      </c>
      <c r="D23" s="36" t="n">
        <v>0</v>
      </c>
      <c r="E23" s="36" t="n">
        <v>0</v>
      </c>
      <c r="F23" s="36" t="n">
        <v>2.8</v>
      </c>
      <c r="G23" s="36" t="n">
        <v>4</v>
      </c>
      <c r="H23" s="36" t="n">
        <v>6</v>
      </c>
      <c r="I23" s="36" t="n">
        <v>4.43</v>
      </c>
      <c r="J23" s="36" t="n">
        <v>3.43</v>
      </c>
      <c r="K23" s="36" t="n">
        <v>5.86</v>
      </c>
      <c r="L23" s="36" t="n">
        <v>5.71</v>
      </c>
      <c r="M23" s="36" t="n">
        <v>6</v>
      </c>
      <c r="N23" s="36" t="n">
        <v>7.43</v>
      </c>
      <c r="O23" s="36" t="n">
        <v>5</v>
      </c>
      <c r="P23" s="36" t="n">
        <v>7.71</v>
      </c>
      <c r="Q23" s="36" t="n">
        <v>10.29</v>
      </c>
      <c r="R23" s="36" t="n">
        <v>7</v>
      </c>
      <c r="S23" s="36" t="n">
        <v>9.289999999999999</v>
      </c>
      <c r="T23" s="36" t="n">
        <v>9.289999999999999</v>
      </c>
      <c r="U23" s="36" t="n">
        <v>12.71</v>
      </c>
      <c r="V23" s="36" t="n">
        <v>9.57</v>
      </c>
      <c r="W23" s="36" t="n">
        <v>11</v>
      </c>
      <c r="X23" s="36" t="n">
        <v>14.86</v>
      </c>
      <c r="Y23" s="36" t="n">
        <v>11</v>
      </c>
      <c r="Z23" s="36" t="n">
        <v>8.57</v>
      </c>
      <c r="AA23" s="36" t="n">
        <v>11.43</v>
      </c>
      <c r="AB23" s="36" t="n">
        <v>9.33</v>
      </c>
    </row>
    <row r="24">
      <c r="A24" s="37" t="inlineStr">
        <is>
          <t>В среднем на ПВЗ</t>
        </is>
      </c>
      <c r="B24" s="38" t="inlineStr"/>
      <c r="C24" s="39">
        <f>AVERAGE(C6:C23)</f>
        <v/>
      </c>
      <c r="D24" s="39">
        <f>AVERAGE(D6:D23)</f>
        <v/>
      </c>
      <c r="E24" s="39">
        <f>AVERAGE(E6:E23)</f>
        <v/>
      </c>
      <c r="F24" s="39">
        <f>AVERAGE(F6:F23)</f>
        <v/>
      </c>
      <c r="G24" s="39">
        <f>AVERAGE(G6:G23)</f>
        <v/>
      </c>
      <c r="H24" s="39">
        <f>AVERAGE(H6:H23)</f>
        <v/>
      </c>
      <c r="I24" s="39">
        <f>AVERAGE(I6:I23)</f>
        <v/>
      </c>
      <c r="J24" s="39">
        <f>AVERAGE(J6:J23)</f>
        <v/>
      </c>
      <c r="K24" s="39">
        <f>AVERAGE(K6:K23)</f>
        <v/>
      </c>
      <c r="L24" s="39">
        <f>AVERAGE(L6:L23)</f>
        <v/>
      </c>
      <c r="M24" s="39">
        <f>AVERAGE(M6:M23)</f>
        <v/>
      </c>
      <c r="N24" s="39">
        <f>AVERAGE(N6:N23)</f>
        <v/>
      </c>
      <c r="O24" s="39">
        <f>AVERAGE(O6:O23)</f>
        <v/>
      </c>
      <c r="P24" s="39">
        <f>AVERAGE(P6:P23)</f>
        <v/>
      </c>
      <c r="Q24" s="39">
        <f>AVERAGE(Q6:Q23)</f>
        <v/>
      </c>
      <c r="R24" s="39">
        <f>AVERAGE(R6:R23)</f>
        <v/>
      </c>
      <c r="S24" s="39">
        <f>AVERAGE(S6:S23)</f>
        <v/>
      </c>
      <c r="T24" s="39">
        <f>AVERAGE(T6:T23)</f>
        <v/>
      </c>
      <c r="U24" s="39">
        <f>AVERAGE(U6:U23)</f>
        <v/>
      </c>
      <c r="V24" s="39">
        <f>AVERAGE(V6:V23)</f>
        <v/>
      </c>
      <c r="W24" s="39">
        <f>AVERAGE(W6:W23)</f>
        <v/>
      </c>
      <c r="X24" s="39">
        <f>AVERAGE(X6:X23)</f>
        <v/>
      </c>
      <c r="Y24" s="39">
        <f>AVERAGE(Y6:Y23)</f>
        <v/>
      </c>
      <c r="Z24" s="39">
        <f>AVERAGE(Z6:Z23)</f>
        <v/>
      </c>
      <c r="AA24" s="39">
        <f>AVERAGE(AA6:AA23)</f>
        <v/>
      </c>
      <c r="AB24" s="39">
        <f>AVERAGE(AB6:AB23)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0" min="1" max="1"/>
    <col width="20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  <col width="13" customWidth="1" style="20" min="11" max="11"/>
    <col width="13" customWidth="1" style="20" min="12" max="12"/>
    <col width="13" customWidth="1" style="20" min="13" max="13"/>
    <col width="13" customWidth="1" style="20" min="14" max="14"/>
    <col width="13" customWidth="1" style="20" min="15" max="15"/>
    <col width="13" customWidth="1" style="20" min="16" max="16"/>
    <col width="13" customWidth="1" style="20" min="17" max="17"/>
    <col width="13" customWidth="1" style="20" min="18" max="18"/>
    <col width="13" customWidth="1" style="20" min="19" max="19"/>
    <col width="13" customWidth="1" style="20" min="20" max="20"/>
    <col width="13" customWidth="1" style="20" min="21" max="21"/>
    <col width="13" customWidth="1" style="20" min="22" max="22"/>
    <col width="13" customWidth="1" style="20" min="23" max="23"/>
    <col width="13" customWidth="1" style="20" min="24" max="24"/>
    <col width="13" customWidth="1" style="20" min="25" max="25"/>
    <col width="13" customWidth="1" style="20" min="26" max="26"/>
    <col width="13" customWidth="1" style="20" min="27" max="27"/>
    <col width="13" customWidth="1" style="20" min="28" max="28"/>
  </cols>
  <sheetData>
    <row r="1">
      <c r="A1" s="29" t="inlineStr">
        <is>
          <t>Сумма выручки (объём) по неделям, сум (накопительно)</t>
        </is>
      </c>
    </row>
    <row r="2">
      <c r="A2" s="30" t="inlineStr">
        <is>
          <t>Накопительный архив: полные недели не меняются, последняя неполная — обновляется. Звёздочка = неполная неделя.</t>
        </is>
      </c>
    </row>
    <row r="3" hidden="1" s="20">
      <c r="C3" t="inlineStr">
        <is>
          <t>2026-04-27</t>
        </is>
      </c>
      <c r="D3" t="inlineStr">
        <is>
          <t>2026-05-04</t>
        </is>
      </c>
      <c r="E3" t="inlineStr">
        <is>
          <t>2026-05-11</t>
        </is>
      </c>
      <c r="F3" t="inlineStr">
        <is>
          <t>2026-05-18</t>
        </is>
      </c>
      <c r="G3" t="inlineStr">
        <is>
          <t>2026-05-25</t>
        </is>
      </c>
      <c r="H3" t="inlineStr">
        <is>
          <t>2026-06-01</t>
        </is>
      </c>
      <c r="I3" t="inlineStr">
        <is>
          <t>2026-06-08</t>
        </is>
      </c>
      <c r="J3" t="inlineStr">
        <is>
          <t>2026-06-15</t>
        </is>
      </c>
      <c r="K3" t="inlineStr">
        <is>
          <t>2026-06-22</t>
        </is>
      </c>
      <c r="L3" t="inlineStr">
        <is>
          <t>2026-06-29</t>
        </is>
      </c>
      <c r="M3" t="inlineStr">
        <is>
          <t>2026-07-06</t>
        </is>
      </c>
      <c r="N3" t="inlineStr">
        <is>
          <t>2026-07-13</t>
        </is>
      </c>
      <c r="O3" t="inlineStr">
        <is>
          <t>2026-07-20</t>
        </is>
      </c>
      <c r="P3" t="inlineStr">
        <is>
          <t>2026-07-27</t>
        </is>
      </c>
      <c r="Q3" t="inlineStr">
        <is>
          <t>2026-08-03</t>
        </is>
      </c>
      <c r="R3" t="inlineStr">
        <is>
          <t>2026-08-10</t>
        </is>
      </c>
      <c r="S3" t="inlineStr">
        <is>
          <t>2026-08-17</t>
        </is>
      </c>
      <c r="T3" t="inlineStr">
        <is>
          <t>2026-08-24</t>
        </is>
      </c>
      <c r="U3" t="inlineStr">
        <is>
          <t>2026-08-31</t>
        </is>
      </c>
      <c r="V3" t="inlineStr">
        <is>
          <t>2026-09-07</t>
        </is>
      </c>
      <c r="W3" t="inlineStr">
        <is>
          <t>2026-09-14</t>
        </is>
      </c>
      <c r="X3" t="inlineStr">
        <is>
          <t>2026-09-21</t>
        </is>
      </c>
      <c r="Y3" t="inlineStr">
        <is>
          <t>2026-09-28</t>
        </is>
      </c>
      <c r="Z3" t="inlineStr">
        <is>
          <t>2026-10-05</t>
        </is>
      </c>
      <c r="AA3" t="inlineStr">
        <is>
          <t>2026-10-12</t>
        </is>
      </c>
      <c r="AB3" t="inlineStr">
        <is>
          <t>2026-10-19</t>
        </is>
      </c>
    </row>
    <row r="4">
      <c r="A4" s="31" t="inlineStr">
        <is>
          <t>Код</t>
        </is>
      </c>
      <c r="B4" s="31" t="inlineStr">
        <is>
          <t>AKA</t>
        </is>
      </c>
      <c r="C4" s="31" t="inlineStr">
        <is>
          <t>27.04–03.05*</t>
        </is>
      </c>
      <c r="D4" s="31" t="inlineStr">
        <is>
          <t>04.05–10.05</t>
        </is>
      </c>
      <c r="E4" s="31" t="inlineStr">
        <is>
          <t>11.05–17.05</t>
        </is>
      </c>
      <c r="F4" s="31" t="inlineStr">
        <is>
          <t>18.05–24.05</t>
        </is>
      </c>
      <c r="G4" s="31" t="inlineStr">
        <is>
          <t>25.05–31.05</t>
        </is>
      </c>
      <c r="H4" s="31" t="inlineStr">
        <is>
          <t>01.06–07.06</t>
        </is>
      </c>
      <c r="I4" s="31" t="inlineStr">
        <is>
          <t>08.06–14.06</t>
        </is>
      </c>
      <c r="J4" s="31" t="inlineStr">
        <is>
          <t>15.06–21.06</t>
        </is>
      </c>
      <c r="K4" s="31" t="inlineStr">
        <is>
          <t>22.06–28.06</t>
        </is>
      </c>
      <c r="L4" s="31" t="inlineStr">
        <is>
          <t>29.06–05.07</t>
        </is>
      </c>
      <c r="M4" s="31" t="inlineStr">
        <is>
          <t>06.07–12.07</t>
        </is>
      </c>
      <c r="N4" s="31" t="inlineStr">
        <is>
          <t>13.07–19.07</t>
        </is>
      </c>
      <c r="O4" s="31" t="inlineStr">
        <is>
          <t>20.07–26.07</t>
        </is>
      </c>
      <c r="P4" s="31" t="inlineStr">
        <is>
          <t>27.07–02.08</t>
        </is>
      </c>
      <c r="Q4" s="31" t="inlineStr">
        <is>
          <t>03.08–09.08</t>
        </is>
      </c>
      <c r="R4" s="31" t="inlineStr">
        <is>
          <t>10.08–16.08</t>
        </is>
      </c>
      <c r="S4" s="31" t="inlineStr">
        <is>
          <t>17.08–23.08</t>
        </is>
      </c>
      <c r="T4" s="31" t="inlineStr">
        <is>
          <t>24.08–30.08</t>
        </is>
      </c>
      <c r="U4" s="31" t="inlineStr">
        <is>
          <t>31.08–06.09</t>
        </is>
      </c>
      <c r="V4" s="31" t="inlineStr">
        <is>
          <t>07.09–13.09</t>
        </is>
      </c>
      <c r="W4" s="31" t="inlineStr">
        <is>
          <t>14.09–20.09</t>
        </is>
      </c>
      <c r="X4" s="31" t="inlineStr">
        <is>
          <t>21.09–27.09</t>
        </is>
      </c>
      <c r="Y4" s="31" t="inlineStr">
        <is>
          <t>28.09–04.10</t>
        </is>
      </c>
      <c r="Z4" s="31" t="inlineStr">
        <is>
          <t>05.10–11.10</t>
        </is>
      </c>
      <c r="AA4" s="31" t="inlineStr">
        <is>
          <t>12.10–18.10</t>
        </is>
      </c>
      <c r="AB4" s="31" t="inlineStr">
        <is>
          <t>19.10–25.10*</t>
        </is>
      </c>
    </row>
    <row r="5">
      <c r="A5" s="32" t="inlineStr">
        <is>
          <t>Дней с данными</t>
        </is>
      </c>
      <c r="B5" s="33" t="inlineStr"/>
      <c r="C5" s="34" t="n">
        <v>3</v>
      </c>
      <c r="D5" s="34" t="n">
        <v>7</v>
      </c>
      <c r="E5" s="34" t="n">
        <v>7</v>
      </c>
      <c r="F5" s="34" t="n">
        <v>7</v>
      </c>
      <c r="G5" s="34" t="n">
        <v>7</v>
      </c>
      <c r="H5" s="34" t="n">
        <v>7</v>
      </c>
      <c r="I5" s="34" t="n">
        <v>7</v>
      </c>
      <c r="J5" s="34" t="n">
        <v>7</v>
      </c>
      <c r="K5" s="34" t="n">
        <v>7</v>
      </c>
      <c r="L5" s="34" t="n">
        <v>7</v>
      </c>
      <c r="M5" s="34" t="n">
        <v>7</v>
      </c>
      <c r="N5" s="34" t="n">
        <v>7</v>
      </c>
      <c r="O5" s="34" t="n">
        <v>7</v>
      </c>
      <c r="P5" s="34" t="n">
        <v>7</v>
      </c>
      <c r="Q5" s="34" t="n">
        <v>7</v>
      </c>
      <c r="R5" s="34" t="n">
        <v>7</v>
      </c>
      <c r="S5" s="34" t="n">
        <v>7</v>
      </c>
      <c r="T5" s="34" t="n">
        <v>7</v>
      </c>
      <c r="U5" s="34" t="n">
        <v>7</v>
      </c>
      <c r="V5" s="34" t="n">
        <v>7</v>
      </c>
      <c r="W5" s="34" t="n">
        <v>7</v>
      </c>
      <c r="X5" s="34" t="n">
        <v>7</v>
      </c>
      <c r="Y5" s="34" t="n">
        <v>7</v>
      </c>
      <c r="Z5" s="34" t="n">
        <v>7</v>
      </c>
      <c r="AA5" s="34" t="n">
        <v>7</v>
      </c>
      <c r="AB5" s="34" t="n">
        <v>3</v>
      </c>
    </row>
    <row r="6">
      <c r="A6" s="35" t="inlineStr">
        <is>
          <t>FRТАШ-291</t>
        </is>
      </c>
      <c r="B6" s="35" t="inlineStr">
        <is>
          <t>Бабур</t>
        </is>
      </c>
      <c r="C6" s="40" t="n">
        <v>0</v>
      </c>
      <c r="D6" s="40" t="n">
        <v>8596643</v>
      </c>
      <c r="E6" s="40" t="n">
        <v>30622284</v>
      </c>
      <c r="F6" s="40" t="n">
        <v>33277426</v>
      </c>
      <c r="G6" s="40" t="n">
        <v>40259616</v>
      </c>
      <c r="H6" s="40" t="n">
        <v>54390985</v>
      </c>
      <c r="I6" s="40" t="n">
        <v>72727058</v>
      </c>
      <c r="J6" s="40" t="n">
        <v>61910106</v>
      </c>
      <c r="K6" s="40" t="n">
        <v>72409127</v>
      </c>
      <c r="L6" s="40" t="n">
        <v>72256071</v>
      </c>
      <c r="M6" s="40" t="n">
        <v>82753547</v>
      </c>
      <c r="N6" s="40" t="n">
        <v>82566330</v>
      </c>
      <c r="O6" s="40" t="n">
        <v>96616423</v>
      </c>
      <c r="P6" s="40" t="n">
        <v>79977173</v>
      </c>
      <c r="Q6" s="40" t="n">
        <v>91676410</v>
      </c>
      <c r="R6" s="40" t="n">
        <v>85717459</v>
      </c>
      <c r="S6" s="40" t="n">
        <v>87147990</v>
      </c>
      <c r="T6" s="40" t="n">
        <v>86540625</v>
      </c>
      <c r="U6" s="40" t="n">
        <v>123494931</v>
      </c>
      <c r="V6" s="40" t="n">
        <v>117613634</v>
      </c>
      <c r="W6" s="40" t="n">
        <v>129454842</v>
      </c>
      <c r="X6" s="40" t="n">
        <v>114593094</v>
      </c>
      <c r="Y6" s="40" t="n">
        <v>118746212</v>
      </c>
      <c r="Z6" s="40" t="n">
        <v>101974620</v>
      </c>
      <c r="AA6" s="40" t="n">
        <v>121486853</v>
      </c>
      <c r="AB6" s="40" t="n">
        <v>45347415</v>
      </c>
    </row>
    <row r="7">
      <c r="A7" s="35" t="inlineStr">
        <is>
          <t>FRТАШ-289</t>
        </is>
      </c>
      <c r="B7" s="35" t="inlineStr">
        <is>
          <t>Афросиаб</t>
        </is>
      </c>
      <c r="C7" s="40" t="n">
        <v>0</v>
      </c>
      <c r="D7" s="40" t="n">
        <v>0</v>
      </c>
      <c r="E7" s="40" t="n">
        <v>2886450</v>
      </c>
      <c r="F7" s="40" t="n">
        <v>22932586</v>
      </c>
      <c r="G7" s="40" t="n">
        <v>24764259</v>
      </c>
      <c r="H7" s="40" t="n">
        <v>32268886</v>
      </c>
      <c r="I7" s="40" t="n">
        <v>42977335</v>
      </c>
      <c r="J7" s="40" t="n">
        <v>44364359</v>
      </c>
      <c r="K7" s="40" t="n">
        <v>53225819</v>
      </c>
      <c r="L7" s="40" t="n">
        <v>51621207</v>
      </c>
      <c r="M7" s="40" t="n">
        <v>58204066</v>
      </c>
      <c r="N7" s="40" t="n">
        <v>58190202</v>
      </c>
      <c r="O7" s="40" t="n">
        <v>46275213</v>
      </c>
      <c r="P7" s="40" t="n">
        <v>51530060</v>
      </c>
      <c r="Q7" s="40" t="n">
        <v>85043089</v>
      </c>
      <c r="R7" s="40" t="n">
        <v>67469168</v>
      </c>
      <c r="S7" s="40" t="n">
        <v>66040134</v>
      </c>
      <c r="T7" s="40" t="n">
        <v>80004937</v>
      </c>
      <c r="U7" s="40" t="n">
        <v>67225139</v>
      </c>
      <c r="V7" s="40" t="n">
        <v>80820230</v>
      </c>
      <c r="W7" s="40" t="n">
        <v>73904849</v>
      </c>
      <c r="X7" s="40" t="n">
        <v>73547034</v>
      </c>
      <c r="Y7" s="40" t="n">
        <v>84513482</v>
      </c>
      <c r="Z7" s="40" t="n">
        <v>80572023</v>
      </c>
      <c r="AA7" s="40" t="n">
        <v>88660521</v>
      </c>
      <c r="AB7" s="40" t="n">
        <v>42888911</v>
      </c>
    </row>
    <row r="8">
      <c r="A8" s="35" t="inlineStr">
        <is>
          <t>FRТАШ-290</t>
        </is>
      </c>
      <c r="B8" s="35" t="inlineStr">
        <is>
          <t>Буз-1</t>
        </is>
      </c>
      <c r="C8" s="40" t="n">
        <v>0</v>
      </c>
      <c r="D8" s="40" t="n">
        <v>6122227</v>
      </c>
      <c r="E8" s="40" t="n">
        <v>31792625</v>
      </c>
      <c r="F8" s="40" t="n">
        <v>49374899</v>
      </c>
      <c r="G8" s="40" t="n">
        <v>38585414</v>
      </c>
      <c r="H8" s="40" t="n">
        <v>51458725</v>
      </c>
      <c r="I8" s="40" t="n">
        <v>61835892</v>
      </c>
      <c r="J8" s="40" t="n">
        <v>80551167</v>
      </c>
      <c r="K8" s="40" t="n">
        <v>61490143</v>
      </c>
      <c r="L8" s="40" t="n">
        <v>68619843</v>
      </c>
      <c r="M8" s="40" t="n">
        <v>81742671</v>
      </c>
      <c r="N8" s="40" t="n">
        <v>69757179</v>
      </c>
      <c r="O8" s="40" t="n">
        <v>68198708</v>
      </c>
      <c r="P8" s="40" t="n">
        <v>67906121</v>
      </c>
      <c r="Q8" s="40" t="n">
        <v>84229530</v>
      </c>
      <c r="R8" s="40" t="n">
        <v>92096471</v>
      </c>
      <c r="S8" s="40" t="n">
        <v>78023476</v>
      </c>
      <c r="T8" s="40" t="n">
        <v>89918146</v>
      </c>
      <c r="U8" s="40" t="n">
        <v>94534230</v>
      </c>
      <c r="V8" s="40" t="n">
        <v>81100625</v>
      </c>
      <c r="W8" s="40" t="n">
        <v>109654171</v>
      </c>
      <c r="X8" s="40" t="n">
        <v>99375298</v>
      </c>
      <c r="Y8" s="40" t="n">
        <v>105623451</v>
      </c>
      <c r="Z8" s="40" t="n">
        <v>73957610</v>
      </c>
      <c r="AA8" s="40" t="n">
        <v>96334193</v>
      </c>
      <c r="AB8" s="40" t="n">
        <v>33879611</v>
      </c>
    </row>
    <row r="9">
      <c r="A9" s="35" t="inlineStr">
        <is>
          <t>FRТАШ-292</t>
        </is>
      </c>
      <c r="B9" s="35" t="inlineStr">
        <is>
          <t>Спутник</t>
        </is>
      </c>
      <c r="C9" s="40" t="n">
        <v>0</v>
      </c>
      <c r="D9" s="40" t="n">
        <v>3771593</v>
      </c>
      <c r="E9" s="40" t="n">
        <v>17664217</v>
      </c>
      <c r="F9" s="40" t="n">
        <v>21748722</v>
      </c>
      <c r="G9" s="40" t="n">
        <v>38313932</v>
      </c>
      <c r="H9" s="40" t="n">
        <v>49313727</v>
      </c>
      <c r="I9" s="40" t="n">
        <v>41788221</v>
      </c>
      <c r="J9" s="40" t="n">
        <v>36755638</v>
      </c>
      <c r="K9" s="40" t="n">
        <v>43259404</v>
      </c>
      <c r="L9" s="40" t="n">
        <v>68694825</v>
      </c>
      <c r="M9" s="40" t="n">
        <v>48824266</v>
      </c>
      <c r="N9" s="40" t="n">
        <v>57556194</v>
      </c>
      <c r="O9" s="40" t="n">
        <v>38323101</v>
      </c>
      <c r="P9" s="40" t="n">
        <v>40276838</v>
      </c>
      <c r="Q9" s="40" t="n">
        <v>45419704</v>
      </c>
      <c r="R9" s="40" t="n">
        <v>55923182</v>
      </c>
      <c r="S9" s="40" t="n">
        <v>40248814</v>
      </c>
      <c r="T9" s="40" t="n">
        <v>50993465</v>
      </c>
      <c r="U9" s="40" t="n">
        <v>62193580</v>
      </c>
      <c r="V9" s="40" t="n">
        <v>45202354</v>
      </c>
      <c r="W9" s="40" t="n">
        <v>45317128</v>
      </c>
      <c r="X9" s="40" t="n">
        <v>48612400</v>
      </c>
      <c r="Y9" s="40" t="n">
        <v>64209970</v>
      </c>
      <c r="Z9" s="40" t="n">
        <v>38948580</v>
      </c>
      <c r="AA9" s="40" t="n">
        <v>60557072</v>
      </c>
      <c r="AB9" s="40" t="n">
        <v>35463855</v>
      </c>
    </row>
    <row r="10">
      <c r="A10" s="35" t="inlineStr">
        <is>
          <t>FRТАШ-294</t>
        </is>
      </c>
      <c r="B10" s="35" t="inlineStr">
        <is>
          <t>Шастри</t>
        </is>
      </c>
      <c r="C10" s="40" t="n">
        <v>9458306</v>
      </c>
      <c r="D10" s="40" t="n">
        <v>15808893</v>
      </c>
      <c r="E10" s="40" t="n">
        <v>14209578</v>
      </c>
      <c r="F10" s="40" t="n">
        <v>30449860</v>
      </c>
      <c r="G10" s="40" t="n">
        <v>32603120</v>
      </c>
      <c r="H10" s="40" t="n">
        <v>35552907</v>
      </c>
      <c r="I10" s="40" t="n">
        <v>31069118</v>
      </c>
      <c r="J10" s="40" t="n">
        <v>40525338</v>
      </c>
      <c r="K10" s="40" t="n">
        <v>42402722</v>
      </c>
      <c r="L10" s="40" t="n">
        <v>42012092</v>
      </c>
      <c r="M10" s="40" t="n">
        <v>58722069</v>
      </c>
      <c r="N10" s="40" t="n">
        <v>48135084</v>
      </c>
      <c r="O10" s="40" t="n">
        <v>44293878</v>
      </c>
      <c r="P10" s="40" t="n">
        <v>41613311</v>
      </c>
      <c r="Q10" s="40" t="n">
        <v>43739350</v>
      </c>
      <c r="R10" s="40" t="n">
        <v>78234960</v>
      </c>
      <c r="S10" s="40" t="n">
        <v>47535640</v>
      </c>
      <c r="T10" s="40" t="n">
        <v>59241681</v>
      </c>
      <c r="U10" s="40" t="n">
        <v>65321829</v>
      </c>
      <c r="V10" s="40" t="n">
        <v>57895664</v>
      </c>
      <c r="W10" s="40" t="n">
        <v>63196973</v>
      </c>
      <c r="X10" s="40" t="n">
        <v>51807160</v>
      </c>
      <c r="Y10" s="40" t="n">
        <v>67644051</v>
      </c>
      <c r="Z10" s="40" t="n">
        <v>43897626</v>
      </c>
      <c r="AA10" s="40" t="n">
        <v>68108471</v>
      </c>
      <c r="AB10" s="40" t="n">
        <v>23066789</v>
      </c>
    </row>
    <row r="11">
      <c r="A11" s="35" t="inlineStr">
        <is>
          <t>FRБХР-30</t>
        </is>
      </c>
      <c r="B11" s="35" t="inlineStr">
        <is>
          <t>Бухара</t>
        </is>
      </c>
      <c r="C11" s="40" t="n">
        <v>251520</v>
      </c>
      <c r="D11" s="40" t="n">
        <v>10351067</v>
      </c>
      <c r="E11" s="40" t="n">
        <v>21091580</v>
      </c>
      <c r="F11" s="40" t="n">
        <v>24243567</v>
      </c>
      <c r="G11" s="40" t="n">
        <v>16381412</v>
      </c>
      <c r="H11" s="40" t="n">
        <v>21591272</v>
      </c>
      <c r="I11" s="40" t="n">
        <v>21904190</v>
      </c>
      <c r="J11" s="40" t="n">
        <v>25438080</v>
      </c>
      <c r="K11" s="40" t="n">
        <v>24614280</v>
      </c>
      <c r="L11" s="40" t="n">
        <v>28889771</v>
      </c>
      <c r="M11" s="40" t="n">
        <v>44250621</v>
      </c>
      <c r="N11" s="40" t="n">
        <v>29608597</v>
      </c>
      <c r="O11" s="40" t="n">
        <v>25219748</v>
      </c>
      <c r="P11" s="40" t="n">
        <v>28515437</v>
      </c>
      <c r="Q11" s="40" t="n">
        <v>35235670</v>
      </c>
      <c r="R11" s="40" t="n">
        <v>38511490</v>
      </c>
      <c r="S11" s="40" t="n">
        <v>40935998</v>
      </c>
      <c r="T11" s="40" t="n">
        <v>58966944</v>
      </c>
      <c r="U11" s="40" t="n">
        <v>43378746</v>
      </c>
      <c r="V11" s="40" t="n">
        <v>67522298</v>
      </c>
      <c r="W11" s="40" t="n">
        <v>44905121</v>
      </c>
      <c r="X11" s="40" t="n">
        <v>43314104</v>
      </c>
      <c r="Y11" s="40" t="n">
        <v>45152620</v>
      </c>
      <c r="Z11" s="40" t="n">
        <v>33695914</v>
      </c>
      <c r="AA11" s="40" t="n">
        <v>56470370</v>
      </c>
      <c r="AB11" s="40" t="n">
        <v>17677255</v>
      </c>
    </row>
    <row r="12">
      <c r="A12" s="35" t="inlineStr">
        <is>
          <t>FRТАШ-293</t>
        </is>
      </c>
      <c r="B12" s="35" t="inlineStr">
        <is>
          <t>Кургантепа</t>
        </is>
      </c>
      <c r="C12" s="40" t="n">
        <v>0</v>
      </c>
      <c r="D12" s="40" t="n">
        <v>0</v>
      </c>
      <c r="E12" s="40" t="n">
        <v>8972650</v>
      </c>
      <c r="F12" s="40" t="n">
        <v>18100396</v>
      </c>
      <c r="G12" s="40" t="n">
        <v>23988817</v>
      </c>
      <c r="H12" s="40" t="n">
        <v>22409732</v>
      </c>
      <c r="I12" s="40" t="n">
        <v>37715520</v>
      </c>
      <c r="J12" s="40" t="n">
        <v>35926824</v>
      </c>
      <c r="K12" s="40" t="n">
        <v>39462393</v>
      </c>
      <c r="L12" s="40" t="n">
        <v>51983942</v>
      </c>
      <c r="M12" s="40" t="n">
        <v>58935844</v>
      </c>
      <c r="N12" s="40" t="n">
        <v>38454971</v>
      </c>
      <c r="O12" s="40" t="n">
        <v>42939312</v>
      </c>
      <c r="P12" s="40" t="n">
        <v>43650420</v>
      </c>
      <c r="Q12" s="40" t="n">
        <v>53954095</v>
      </c>
      <c r="R12" s="40" t="n">
        <v>48898463</v>
      </c>
      <c r="S12" s="40" t="n">
        <v>48011655</v>
      </c>
      <c r="T12" s="40" t="n">
        <v>72064876</v>
      </c>
      <c r="U12" s="40" t="n">
        <v>59606189</v>
      </c>
      <c r="V12" s="40" t="n">
        <v>50164748</v>
      </c>
      <c r="W12" s="40" t="n">
        <v>46095774</v>
      </c>
      <c r="X12" s="40" t="n">
        <v>57645111</v>
      </c>
      <c r="Y12" s="40" t="n">
        <v>55172528</v>
      </c>
      <c r="Z12" s="40" t="n">
        <v>47962010</v>
      </c>
      <c r="AA12" s="40" t="n">
        <v>43352139</v>
      </c>
      <c r="AB12" s="40" t="n">
        <v>22688450</v>
      </c>
    </row>
    <row r="13">
      <c r="A13" s="35" t="inlineStr">
        <is>
          <t>FRАЛМ-9</t>
        </is>
      </c>
      <c r="B13" s="35" t="inlineStr">
        <is>
          <t>Алмалык Амир Т</t>
        </is>
      </c>
      <c r="C13" s="40" t="n">
        <v>0</v>
      </c>
      <c r="D13" s="40" t="n">
        <v>536260</v>
      </c>
      <c r="E13" s="40" t="n">
        <v>14403556</v>
      </c>
      <c r="F13" s="40" t="n">
        <v>16216832</v>
      </c>
      <c r="G13" s="40" t="n">
        <v>32622053</v>
      </c>
      <c r="H13" s="40" t="n">
        <v>23929705</v>
      </c>
      <c r="I13" s="40" t="n">
        <v>37214538</v>
      </c>
      <c r="J13" s="40" t="n">
        <v>25375430</v>
      </c>
      <c r="K13" s="40" t="n">
        <v>31500087</v>
      </c>
      <c r="L13" s="40" t="n">
        <v>28078687</v>
      </c>
      <c r="M13" s="40" t="n">
        <v>34472458</v>
      </c>
      <c r="N13" s="40" t="n">
        <v>35343350</v>
      </c>
      <c r="O13" s="40" t="n">
        <v>51225290</v>
      </c>
      <c r="P13" s="40" t="n">
        <v>36142612</v>
      </c>
      <c r="Q13" s="40" t="n">
        <v>47488940</v>
      </c>
      <c r="R13" s="40" t="n">
        <v>44805002</v>
      </c>
      <c r="S13" s="40" t="n">
        <v>43327432</v>
      </c>
      <c r="T13" s="40" t="n">
        <v>39637968</v>
      </c>
      <c r="U13" s="40" t="n">
        <v>55199920</v>
      </c>
      <c r="V13" s="40" t="n">
        <v>50680631</v>
      </c>
      <c r="W13" s="40" t="n">
        <v>50163008</v>
      </c>
      <c r="X13" s="40" t="n">
        <v>38778399</v>
      </c>
      <c r="Y13" s="40" t="n">
        <v>50996587</v>
      </c>
      <c r="Z13" s="40" t="n">
        <v>42228986</v>
      </c>
      <c r="AA13" s="40" t="n">
        <v>32767816</v>
      </c>
      <c r="AB13" s="40" t="n">
        <v>22065624</v>
      </c>
    </row>
    <row r="14">
      <c r="A14" s="35" t="inlineStr">
        <is>
          <t>FRСМК-52</t>
        </is>
      </c>
      <c r="B14" s="35" t="inlineStr">
        <is>
          <t>Рудаки</t>
        </is>
      </c>
      <c r="C14" s="40" t="n">
        <v>0</v>
      </c>
      <c r="D14" s="40" t="n">
        <v>5092853</v>
      </c>
      <c r="E14" s="40" t="n">
        <v>11100161</v>
      </c>
      <c r="F14" s="40" t="n">
        <v>14612055</v>
      </c>
      <c r="G14" s="40" t="n">
        <v>20638987</v>
      </c>
      <c r="H14" s="40" t="n">
        <v>14061352</v>
      </c>
      <c r="I14" s="40" t="n">
        <v>31599148</v>
      </c>
      <c r="J14" s="40" t="n">
        <v>18747614</v>
      </c>
      <c r="K14" s="40" t="n">
        <v>19576415</v>
      </c>
      <c r="L14" s="40" t="n">
        <v>14226838</v>
      </c>
      <c r="M14" s="40" t="n">
        <v>23197145</v>
      </c>
      <c r="N14" s="40" t="n">
        <v>25790711</v>
      </c>
      <c r="O14" s="40" t="n">
        <v>27856115</v>
      </c>
      <c r="P14" s="40" t="n">
        <v>20981901</v>
      </c>
      <c r="Q14" s="40" t="n">
        <v>25433123</v>
      </c>
      <c r="R14" s="40" t="n">
        <v>19355230</v>
      </c>
      <c r="S14" s="40" t="n">
        <v>24713836</v>
      </c>
      <c r="T14" s="40" t="n">
        <v>20195634</v>
      </c>
      <c r="U14" s="40" t="n">
        <v>32414171</v>
      </c>
      <c r="V14" s="40" t="n">
        <v>42780769</v>
      </c>
      <c r="W14" s="40" t="n">
        <v>36755122</v>
      </c>
      <c r="X14" s="40" t="n">
        <v>38071365</v>
      </c>
      <c r="Y14" s="40" t="n">
        <v>34397222</v>
      </c>
      <c r="Z14" s="40" t="n">
        <v>32536036</v>
      </c>
      <c r="AA14" s="40" t="n">
        <v>43911137</v>
      </c>
      <c r="AB14" s="40" t="n">
        <v>17605235</v>
      </c>
    </row>
    <row r="15">
      <c r="A15" s="35" t="inlineStr">
        <is>
          <t>FRТАШ-308</t>
        </is>
      </c>
      <c r="B15" s="35" t="inlineStr">
        <is>
          <t>Янгиюнусабад</t>
        </is>
      </c>
      <c r="C15" s="40" t="n">
        <v>530238</v>
      </c>
      <c r="D15" s="40" t="n">
        <v>8544625</v>
      </c>
      <c r="E15" s="40" t="n">
        <v>8387478</v>
      </c>
      <c r="F15" s="40" t="n">
        <v>10570508</v>
      </c>
      <c r="G15" s="40" t="n">
        <v>11896580</v>
      </c>
      <c r="H15" s="40" t="n">
        <v>19614352</v>
      </c>
      <c r="I15" s="40" t="n">
        <v>20966317</v>
      </c>
      <c r="J15" s="40" t="n">
        <v>20073400</v>
      </c>
      <c r="K15" s="40" t="n">
        <v>23801493</v>
      </c>
      <c r="L15" s="40" t="n">
        <v>27940611</v>
      </c>
      <c r="M15" s="40" t="n">
        <v>27893929</v>
      </c>
      <c r="N15" s="40" t="n">
        <v>29635773</v>
      </c>
      <c r="O15" s="40" t="n">
        <v>19554230</v>
      </c>
      <c r="P15" s="40" t="n">
        <v>23848495</v>
      </c>
      <c r="Q15" s="40" t="n">
        <v>24194638</v>
      </c>
      <c r="R15" s="40" t="n">
        <v>20330094</v>
      </c>
      <c r="S15" s="40" t="n">
        <v>26044199</v>
      </c>
      <c r="T15" s="40" t="n">
        <v>24608772</v>
      </c>
      <c r="U15" s="40" t="n">
        <v>28079726</v>
      </c>
      <c r="V15" s="40" t="n">
        <v>20968052</v>
      </c>
      <c r="W15" s="40" t="n">
        <v>29501132</v>
      </c>
      <c r="X15" s="40" t="n">
        <v>30624981</v>
      </c>
      <c r="Y15" s="40" t="n">
        <v>28071639</v>
      </c>
      <c r="Z15" s="40" t="n">
        <v>21021583</v>
      </c>
      <c r="AA15" s="40" t="n">
        <v>29229414</v>
      </c>
      <c r="AB15" s="40" t="n">
        <v>13272630</v>
      </c>
    </row>
    <row r="16">
      <c r="A16" s="35" t="inlineStr">
        <is>
          <t>FRБУК-2</t>
        </is>
      </c>
      <c r="B16" s="35" t="inlineStr">
        <is>
          <t>Бука</t>
        </is>
      </c>
      <c r="C16" s="40" t="n">
        <v>0</v>
      </c>
      <c r="D16" s="40" t="n">
        <v>3337146</v>
      </c>
      <c r="E16" s="40" t="n">
        <v>10420206</v>
      </c>
      <c r="F16" s="40" t="n">
        <v>21387685</v>
      </c>
      <c r="G16" s="40" t="n">
        <v>16050448</v>
      </c>
      <c r="H16" s="40" t="n">
        <v>21568794</v>
      </c>
      <c r="I16" s="40" t="n">
        <v>30845816</v>
      </c>
      <c r="J16" s="40" t="n">
        <v>45285935</v>
      </c>
      <c r="K16" s="40" t="n">
        <v>28941455</v>
      </c>
      <c r="L16" s="40" t="n">
        <v>21801828</v>
      </c>
      <c r="M16" s="40" t="n">
        <v>19628570</v>
      </c>
      <c r="N16" s="40" t="n">
        <v>23276090</v>
      </c>
      <c r="O16" s="40" t="n">
        <v>27906254</v>
      </c>
      <c r="P16" s="40" t="n">
        <v>20822247</v>
      </c>
      <c r="Q16" s="40" t="n">
        <v>20014322</v>
      </c>
      <c r="R16" s="40" t="n">
        <v>19159625</v>
      </c>
      <c r="S16" s="40" t="n">
        <v>22535696</v>
      </c>
      <c r="T16" s="40" t="n">
        <v>21412810</v>
      </c>
      <c r="U16" s="40" t="n">
        <v>34881782</v>
      </c>
      <c r="V16" s="40" t="n">
        <v>25904024</v>
      </c>
      <c r="W16" s="40" t="n">
        <v>46961904</v>
      </c>
      <c r="X16" s="40" t="n">
        <v>42299644</v>
      </c>
      <c r="Y16" s="40" t="n">
        <v>32109759</v>
      </c>
      <c r="Z16" s="40" t="n">
        <v>22714393</v>
      </c>
      <c r="AA16" s="40" t="n">
        <v>52198815</v>
      </c>
      <c r="AB16" s="40" t="n">
        <v>20882240</v>
      </c>
    </row>
    <row r="17">
      <c r="A17" s="35" t="inlineStr">
        <is>
          <t>FRГАЗ-4</t>
        </is>
      </c>
      <c r="B17" s="35" t="inlineStr">
        <is>
          <t>Газалкент</t>
        </is>
      </c>
      <c r="C17" s="40" t="n">
        <v>475871</v>
      </c>
      <c r="D17" s="40" t="n">
        <v>11884771</v>
      </c>
      <c r="E17" s="40" t="n">
        <v>10651216</v>
      </c>
      <c r="F17" s="40" t="n">
        <v>13882033</v>
      </c>
      <c r="G17" s="40" t="n">
        <v>17812948</v>
      </c>
      <c r="H17" s="40" t="n">
        <v>17331854</v>
      </c>
      <c r="I17" s="40" t="n">
        <v>26294756</v>
      </c>
      <c r="J17" s="40" t="n">
        <v>24196222</v>
      </c>
      <c r="K17" s="40" t="n">
        <v>22122847</v>
      </c>
      <c r="L17" s="40" t="n">
        <v>31914115</v>
      </c>
      <c r="M17" s="40" t="n">
        <v>32069521</v>
      </c>
      <c r="N17" s="40" t="n">
        <v>38287475</v>
      </c>
      <c r="O17" s="40" t="n">
        <v>28283704</v>
      </c>
      <c r="P17" s="40" t="n">
        <v>27334091</v>
      </c>
      <c r="Q17" s="40" t="n">
        <v>36312415</v>
      </c>
      <c r="R17" s="40" t="n">
        <v>39333565</v>
      </c>
      <c r="S17" s="40" t="n">
        <v>28566119</v>
      </c>
      <c r="T17" s="40" t="n">
        <v>40387845</v>
      </c>
      <c r="U17" s="40" t="n">
        <v>39744111</v>
      </c>
      <c r="V17" s="40" t="n">
        <v>31477917</v>
      </c>
      <c r="W17" s="40" t="n">
        <v>29910767</v>
      </c>
      <c r="X17" s="40" t="n">
        <v>44620606</v>
      </c>
      <c r="Y17" s="40" t="n">
        <v>35679497</v>
      </c>
      <c r="Z17" s="40" t="n">
        <v>25102609</v>
      </c>
      <c r="AA17" s="40" t="n">
        <v>39000780</v>
      </c>
      <c r="AB17" s="40" t="n">
        <v>13381520</v>
      </c>
    </row>
    <row r="18">
      <c r="A18" s="35" t="inlineStr">
        <is>
          <t>FRАЛМ-10</t>
        </is>
      </c>
      <c r="B18" s="35" t="inlineStr">
        <is>
          <t>Алмалык Мустакилик</t>
        </is>
      </c>
      <c r="C18" s="40" t="n">
        <v>0</v>
      </c>
      <c r="D18" s="40" t="n">
        <v>3249588</v>
      </c>
      <c r="E18" s="40" t="n">
        <v>7305524</v>
      </c>
      <c r="F18" s="40" t="n">
        <v>9575225</v>
      </c>
      <c r="G18" s="40" t="n">
        <v>9264589</v>
      </c>
      <c r="H18" s="40" t="n">
        <v>20692424</v>
      </c>
      <c r="I18" s="40" t="n">
        <v>27565767</v>
      </c>
      <c r="J18" s="40" t="n">
        <v>19138015</v>
      </c>
      <c r="K18" s="40" t="n">
        <v>24912292</v>
      </c>
      <c r="L18" s="40" t="n">
        <v>19068954</v>
      </c>
      <c r="M18" s="40" t="n">
        <v>25387051</v>
      </c>
      <c r="N18" s="40" t="n">
        <v>21008637</v>
      </c>
      <c r="O18" s="40" t="n">
        <v>30862574</v>
      </c>
      <c r="P18" s="40" t="n">
        <v>31820447</v>
      </c>
      <c r="Q18" s="40" t="n">
        <v>31875986</v>
      </c>
      <c r="R18" s="40" t="n">
        <v>48358034</v>
      </c>
      <c r="S18" s="40" t="n">
        <v>30000524</v>
      </c>
      <c r="T18" s="40" t="n">
        <v>31150016</v>
      </c>
      <c r="U18" s="40" t="n">
        <v>40688796</v>
      </c>
      <c r="V18" s="40" t="n">
        <v>31752550</v>
      </c>
      <c r="W18" s="40" t="n">
        <v>32778027</v>
      </c>
      <c r="X18" s="40" t="n">
        <v>21331873</v>
      </c>
      <c r="Y18" s="40" t="n">
        <v>28676177</v>
      </c>
      <c r="Z18" s="40" t="n">
        <v>32596511</v>
      </c>
      <c r="AA18" s="40" t="n">
        <v>53200913</v>
      </c>
      <c r="AB18" s="40" t="n">
        <v>13451710</v>
      </c>
    </row>
    <row r="19">
      <c r="A19" s="35" t="inlineStr">
        <is>
          <t>FRСМК-53</t>
        </is>
      </c>
      <c r="B19" s="35" t="inlineStr">
        <is>
          <t>Андижанская</t>
        </is>
      </c>
      <c r="C19" s="40" t="n">
        <v>0</v>
      </c>
      <c r="D19" s="40" t="n">
        <v>0</v>
      </c>
      <c r="E19" s="40" t="n">
        <v>0</v>
      </c>
      <c r="F19" s="40" t="n">
        <v>363900</v>
      </c>
      <c r="G19" s="40" t="n">
        <v>3736700</v>
      </c>
      <c r="H19" s="40" t="n">
        <v>17796776</v>
      </c>
      <c r="I19" s="40" t="n">
        <v>42724228</v>
      </c>
      <c r="J19" s="40" t="n">
        <v>33036620</v>
      </c>
      <c r="K19" s="40" t="n">
        <v>29649130</v>
      </c>
      <c r="L19" s="40" t="n">
        <v>13949368</v>
      </c>
      <c r="M19" s="40" t="n">
        <v>24539413</v>
      </c>
      <c r="N19" s="40" t="n">
        <v>19087217</v>
      </c>
      <c r="O19" s="40" t="n">
        <v>17139440</v>
      </c>
      <c r="P19" s="40" t="n">
        <v>17746930</v>
      </c>
      <c r="Q19" s="40" t="n">
        <v>21437830</v>
      </c>
      <c r="R19" s="40" t="n">
        <v>17616397</v>
      </c>
      <c r="S19" s="40" t="n">
        <v>19360848</v>
      </c>
      <c r="T19" s="40" t="n">
        <v>25377166</v>
      </c>
      <c r="U19" s="40" t="n">
        <v>24702051</v>
      </c>
      <c r="V19" s="40" t="n">
        <v>26856647</v>
      </c>
      <c r="W19" s="40" t="n">
        <v>27122255</v>
      </c>
      <c r="X19" s="40" t="n">
        <v>30650242</v>
      </c>
      <c r="Y19" s="40" t="n">
        <v>21101547</v>
      </c>
      <c r="Z19" s="40" t="n">
        <v>30037062</v>
      </c>
      <c r="AA19" s="40" t="n">
        <v>22123372</v>
      </c>
      <c r="AB19" s="40" t="n">
        <v>13201840</v>
      </c>
    </row>
    <row r="20">
      <c r="A20" s="35" t="inlineStr">
        <is>
          <t>FRПСК-2</t>
        </is>
      </c>
      <c r="B20" s="35" t="inlineStr">
        <is>
          <t>Пскент</t>
        </is>
      </c>
      <c r="C20" s="40" t="n">
        <v>0</v>
      </c>
      <c r="D20" s="40" t="n">
        <v>0</v>
      </c>
      <c r="E20" s="40" t="n">
        <v>0</v>
      </c>
      <c r="F20" s="40" t="n">
        <v>1324510</v>
      </c>
      <c r="G20" s="40" t="n">
        <v>10311989</v>
      </c>
      <c r="H20" s="40" t="n">
        <v>19934535</v>
      </c>
      <c r="I20" s="40" t="n">
        <v>13536614</v>
      </c>
      <c r="J20" s="40" t="n">
        <v>22187720</v>
      </c>
      <c r="K20" s="40" t="n">
        <v>11732010</v>
      </c>
      <c r="L20" s="40" t="n">
        <v>21143100</v>
      </c>
      <c r="M20" s="40" t="n">
        <v>14330970</v>
      </c>
      <c r="N20" s="40" t="n">
        <v>38267409</v>
      </c>
      <c r="O20" s="40" t="n">
        <v>46351274</v>
      </c>
      <c r="P20" s="40" t="n">
        <v>37105387</v>
      </c>
      <c r="Q20" s="40" t="n">
        <v>19868191</v>
      </c>
      <c r="R20" s="40" t="n">
        <v>15153480</v>
      </c>
      <c r="S20" s="40" t="n">
        <v>19277087</v>
      </c>
      <c r="T20" s="40" t="n">
        <v>34209889</v>
      </c>
      <c r="U20" s="40" t="n">
        <v>33260760</v>
      </c>
      <c r="V20" s="40" t="n">
        <v>23559262</v>
      </c>
      <c r="W20" s="40" t="n">
        <v>29206004</v>
      </c>
      <c r="X20" s="40" t="n">
        <v>26477239</v>
      </c>
      <c r="Y20" s="40" t="n">
        <v>31392938</v>
      </c>
      <c r="Z20" s="40" t="n">
        <v>14752034</v>
      </c>
      <c r="AA20" s="40" t="n">
        <v>27021110</v>
      </c>
      <c r="AB20" s="40" t="n">
        <v>11170240</v>
      </c>
    </row>
    <row r="21">
      <c r="A21" s="35" t="inlineStr">
        <is>
          <t>FRТАШ-319</t>
        </is>
      </c>
      <c r="B21" s="35" t="inlineStr">
        <is>
          <t>Баку</t>
        </is>
      </c>
      <c r="C21" s="40" t="n">
        <v>0</v>
      </c>
      <c r="D21" s="40" t="n">
        <v>6239584</v>
      </c>
      <c r="E21" s="40" t="n">
        <v>13803407</v>
      </c>
      <c r="F21" s="40" t="n">
        <v>28572076</v>
      </c>
      <c r="G21" s="40" t="n">
        <v>15282581</v>
      </c>
      <c r="H21" s="40" t="n">
        <v>16594572</v>
      </c>
      <c r="I21" s="40" t="n">
        <v>15223898</v>
      </c>
      <c r="J21" s="40" t="n">
        <v>27696695</v>
      </c>
      <c r="K21" s="40" t="n">
        <v>17717888</v>
      </c>
      <c r="L21" s="40" t="n">
        <v>24163432</v>
      </c>
      <c r="M21" s="40" t="n">
        <v>23623477</v>
      </c>
      <c r="N21" s="40" t="n">
        <v>19145601</v>
      </c>
      <c r="O21" s="40" t="n">
        <v>30157601</v>
      </c>
      <c r="P21" s="40" t="n">
        <v>41172333</v>
      </c>
      <c r="Q21" s="40" t="n">
        <v>34303423</v>
      </c>
      <c r="R21" s="40" t="n">
        <v>35044850</v>
      </c>
      <c r="S21" s="40" t="n">
        <v>33519824</v>
      </c>
      <c r="T21" s="40" t="n">
        <v>25969876</v>
      </c>
      <c r="U21" s="40" t="n">
        <v>23835106</v>
      </c>
      <c r="V21" s="40" t="n">
        <v>27833047</v>
      </c>
      <c r="W21" s="40" t="n">
        <v>22815382</v>
      </c>
      <c r="X21" s="40" t="n">
        <v>28299644</v>
      </c>
      <c r="Y21" s="40" t="n">
        <v>23130899</v>
      </c>
      <c r="Z21" s="40" t="n">
        <v>20390472</v>
      </c>
      <c r="AA21" s="40" t="n">
        <v>25564267</v>
      </c>
      <c r="AB21" s="40" t="n">
        <v>9203127</v>
      </c>
    </row>
    <row r="22">
      <c r="A22" s="35" t="inlineStr">
        <is>
          <t>FRТАШ-307</t>
        </is>
      </c>
      <c r="B22" s="35" t="inlineStr">
        <is>
          <t>Крестик</t>
        </is>
      </c>
      <c r="C22" s="40" t="n">
        <v>862720</v>
      </c>
      <c r="D22" s="40" t="n">
        <v>2474409</v>
      </c>
      <c r="E22" s="40" t="n">
        <v>4696696</v>
      </c>
      <c r="F22" s="40" t="n">
        <v>6991878</v>
      </c>
      <c r="G22" s="40" t="n">
        <v>4060163</v>
      </c>
      <c r="H22" s="40" t="n">
        <v>7685466</v>
      </c>
      <c r="I22" s="40" t="n">
        <v>10141286</v>
      </c>
      <c r="J22" s="40" t="n">
        <v>6393871</v>
      </c>
      <c r="K22" s="40" t="n">
        <v>4534503</v>
      </c>
      <c r="L22" s="40" t="n">
        <v>7579040</v>
      </c>
      <c r="M22" s="40" t="n">
        <v>9679437</v>
      </c>
      <c r="N22" s="40" t="n">
        <v>6102368</v>
      </c>
      <c r="O22" s="40" t="n">
        <v>4294070</v>
      </c>
      <c r="P22" s="40" t="n">
        <v>5589419</v>
      </c>
      <c r="Q22" s="40" t="n">
        <v>10264941</v>
      </c>
      <c r="R22" s="40" t="n">
        <v>6114083</v>
      </c>
      <c r="S22" s="40" t="n">
        <v>10758755</v>
      </c>
      <c r="T22" s="40" t="n">
        <v>6048269</v>
      </c>
      <c r="U22" s="40" t="n">
        <v>9823030</v>
      </c>
      <c r="V22" s="40" t="n">
        <v>7263590</v>
      </c>
      <c r="W22" s="40" t="n">
        <v>14940492</v>
      </c>
      <c r="X22" s="40" t="n">
        <v>8868985</v>
      </c>
      <c r="Y22" s="40" t="n">
        <v>13151700</v>
      </c>
      <c r="Z22" s="40" t="n">
        <v>7846730</v>
      </c>
      <c r="AA22" s="40" t="n">
        <v>5590930</v>
      </c>
      <c r="AB22" s="40" t="n">
        <v>2937368</v>
      </c>
    </row>
    <row r="23">
      <c r="A23" s="35" t="inlineStr">
        <is>
          <t>FRМРГ-8</t>
        </is>
      </c>
      <c r="B23" s="35" t="inlineStr">
        <is>
          <t>Маргилан</t>
        </is>
      </c>
      <c r="C23" s="40" t="n">
        <v>0</v>
      </c>
      <c r="D23" s="40" t="n">
        <v>0</v>
      </c>
      <c r="E23" s="40" t="n">
        <v>0</v>
      </c>
      <c r="F23" s="40" t="n">
        <v>1339100</v>
      </c>
      <c r="G23" s="40" t="n">
        <v>5579340</v>
      </c>
      <c r="H23" s="40" t="n">
        <v>9518200</v>
      </c>
      <c r="I23" s="40" t="n">
        <v>11747640</v>
      </c>
      <c r="J23" s="40" t="n">
        <v>3885270</v>
      </c>
      <c r="K23" s="40" t="n">
        <v>8765870</v>
      </c>
      <c r="L23" s="40" t="n">
        <v>4571680</v>
      </c>
      <c r="M23" s="40" t="n">
        <v>3911995</v>
      </c>
      <c r="N23" s="40" t="n">
        <v>9234090</v>
      </c>
      <c r="O23" s="40" t="n">
        <v>5390260</v>
      </c>
      <c r="P23" s="40" t="n">
        <v>4645370</v>
      </c>
      <c r="Q23" s="40" t="n">
        <v>10400980</v>
      </c>
      <c r="R23" s="40" t="n">
        <v>6123322</v>
      </c>
      <c r="S23" s="40" t="n">
        <v>5648770</v>
      </c>
      <c r="T23" s="40" t="n">
        <v>6880660</v>
      </c>
      <c r="U23" s="40" t="n">
        <v>10209080</v>
      </c>
      <c r="V23" s="40" t="n">
        <v>17909229</v>
      </c>
      <c r="W23" s="40" t="n">
        <v>9500343</v>
      </c>
      <c r="X23" s="40" t="n">
        <v>19439125</v>
      </c>
      <c r="Y23" s="40" t="n">
        <v>9558790</v>
      </c>
      <c r="Z23" s="40" t="n">
        <v>7475060</v>
      </c>
      <c r="AA23" s="40" t="n">
        <v>12183598</v>
      </c>
      <c r="AB23" s="40" t="n">
        <v>2924012</v>
      </c>
    </row>
    <row r="24">
      <c r="A24" s="37" t="inlineStr">
        <is>
          <t>В среднем на ПВЗ</t>
        </is>
      </c>
      <c r="B24" s="38" t="inlineStr"/>
      <c r="C24" s="41">
        <f>AVERAGE(C6:C23)</f>
        <v/>
      </c>
      <c r="D24" s="41">
        <f>AVERAGE(D6:D23)</f>
        <v/>
      </c>
      <c r="E24" s="41">
        <f>AVERAGE(E6:E23)</f>
        <v/>
      </c>
      <c r="F24" s="41">
        <f>AVERAGE(F6:F23)</f>
        <v/>
      </c>
      <c r="G24" s="41">
        <f>AVERAGE(G6:G23)</f>
        <v/>
      </c>
      <c r="H24" s="41">
        <f>AVERAGE(H6:H23)</f>
        <v/>
      </c>
      <c r="I24" s="41">
        <f>AVERAGE(I6:I23)</f>
        <v/>
      </c>
      <c r="J24" s="41">
        <f>AVERAGE(J6:J23)</f>
        <v/>
      </c>
      <c r="K24" s="41">
        <f>AVERAGE(K6:K23)</f>
        <v/>
      </c>
      <c r="L24" s="41">
        <f>AVERAGE(L6:L23)</f>
        <v/>
      </c>
      <c r="M24" s="41">
        <f>AVERAGE(M6:M23)</f>
        <v/>
      </c>
      <c r="N24" s="41">
        <f>AVERAGE(N6:N23)</f>
        <v/>
      </c>
      <c r="O24" s="41">
        <f>AVERAGE(O6:O23)</f>
        <v/>
      </c>
      <c r="P24" s="41">
        <f>AVERAGE(P6:P23)</f>
        <v/>
      </c>
      <c r="Q24" s="41">
        <f>AVERAGE(Q6:Q23)</f>
        <v/>
      </c>
      <c r="R24" s="41">
        <f>AVERAGE(R6:R23)</f>
        <v/>
      </c>
      <c r="S24" s="41">
        <f>AVERAGE(S6:S23)</f>
        <v/>
      </c>
      <c r="T24" s="41">
        <f>AVERAGE(T6:T23)</f>
        <v/>
      </c>
      <c r="U24" s="41">
        <f>AVERAGE(U6:U23)</f>
        <v/>
      </c>
      <c r="V24" s="41">
        <f>AVERAGE(V6:V23)</f>
        <v/>
      </c>
      <c r="W24" s="41">
        <f>AVERAGE(W6:W23)</f>
        <v/>
      </c>
      <c r="X24" s="41">
        <f>AVERAGE(X6:X23)</f>
        <v/>
      </c>
      <c r="Y24" s="41">
        <f>AVERAGE(Y6:Y23)</f>
        <v/>
      </c>
      <c r="Z24" s="41">
        <f>AVERAGE(Z6:Z23)</f>
        <v/>
      </c>
      <c r="AA24" s="41">
        <f>AVERAGE(AA6:AA23)</f>
        <v/>
      </c>
      <c r="AB24" s="41">
        <f>AVERAGE(AB6:AB23)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0" min="1" max="1"/>
    <col width="20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  <col width="13" customWidth="1" style="20" min="11" max="11"/>
    <col width="13" customWidth="1" style="20" min="12" max="12"/>
    <col width="13" customWidth="1" style="20" min="13" max="13"/>
    <col width="13" customWidth="1" style="20" min="14" max="14"/>
    <col width="13" customWidth="1" style="20" min="15" max="15"/>
    <col width="13" customWidth="1" style="20" min="16" max="16"/>
    <col width="13" customWidth="1" style="20" min="17" max="17"/>
    <col width="13" customWidth="1" style="20" min="18" max="18"/>
    <col width="13" customWidth="1" style="20" min="19" max="19"/>
    <col width="13" customWidth="1" style="20" min="20" max="20"/>
    <col width="13" customWidth="1" style="20" min="21" max="21"/>
    <col width="13" customWidth="1" style="20" min="22" max="22"/>
    <col width="13" customWidth="1" style="20" min="23" max="23"/>
    <col width="13" customWidth="1" style="20" min="24" max="24"/>
    <col width="13" customWidth="1" style="20" min="25" max="25"/>
    <col width="13" customWidth="1" style="20" min="26" max="26"/>
    <col width="13" customWidth="1" style="20" min="27" max="27"/>
    <col width="13" customWidth="1" style="20" min="28" max="28"/>
  </cols>
  <sheetData>
    <row r="1">
      <c r="A1" s="29" t="inlineStr">
        <is>
          <t>Дней с данными по каждому ПВЗ за неделю (накопительно)</t>
        </is>
      </c>
    </row>
    <row r="2">
      <c r="A2" s="30" t="inlineStr">
        <is>
          <t>Накопительный архив: полные недели не меняются, последняя неполная — обновляется. Звёздочка = неполная неделя.</t>
        </is>
      </c>
    </row>
    <row r="3" hidden="1" s="20">
      <c r="C3" t="inlineStr">
        <is>
          <t>2026-04-27</t>
        </is>
      </c>
      <c r="D3" t="inlineStr">
        <is>
          <t>2026-05-04</t>
        </is>
      </c>
      <c r="E3" t="inlineStr">
        <is>
          <t>2026-05-11</t>
        </is>
      </c>
      <c r="F3" t="inlineStr">
        <is>
          <t>2026-05-18</t>
        </is>
      </c>
      <c r="G3" t="inlineStr">
        <is>
          <t>2026-05-25</t>
        </is>
      </c>
      <c r="H3" t="inlineStr">
        <is>
          <t>2026-06-01</t>
        </is>
      </c>
      <c r="I3" t="inlineStr">
        <is>
          <t>2026-06-08</t>
        </is>
      </c>
      <c r="J3" t="inlineStr">
        <is>
          <t>2026-06-15</t>
        </is>
      </c>
      <c r="K3" t="inlineStr">
        <is>
          <t>2026-06-22</t>
        </is>
      </c>
      <c r="L3" t="inlineStr">
        <is>
          <t>2026-06-29</t>
        </is>
      </c>
      <c r="M3" t="inlineStr">
        <is>
          <t>2026-07-06</t>
        </is>
      </c>
      <c r="N3" t="inlineStr">
        <is>
          <t>2026-07-13</t>
        </is>
      </c>
      <c r="O3" t="inlineStr">
        <is>
          <t>2026-07-20</t>
        </is>
      </c>
      <c r="P3" t="inlineStr">
        <is>
          <t>2026-07-27</t>
        </is>
      </c>
      <c r="Q3" t="inlineStr">
        <is>
          <t>2026-08-03</t>
        </is>
      </c>
      <c r="R3" t="inlineStr">
        <is>
          <t>2026-08-10</t>
        </is>
      </c>
      <c r="S3" t="inlineStr">
        <is>
          <t>2026-08-17</t>
        </is>
      </c>
      <c r="T3" t="inlineStr">
        <is>
          <t>2026-08-24</t>
        </is>
      </c>
      <c r="U3" t="inlineStr">
        <is>
          <t>2026-08-31</t>
        </is>
      </c>
      <c r="V3" t="inlineStr">
        <is>
          <t>2026-09-07</t>
        </is>
      </c>
      <c r="W3" t="inlineStr">
        <is>
          <t>2026-09-14</t>
        </is>
      </c>
      <c r="X3" t="inlineStr">
        <is>
          <t>2026-09-21</t>
        </is>
      </c>
      <c r="Y3" t="inlineStr">
        <is>
          <t>2026-09-28</t>
        </is>
      </c>
      <c r="Z3" t="inlineStr">
        <is>
          <t>2026-10-05</t>
        </is>
      </c>
      <c r="AA3" t="inlineStr">
        <is>
          <t>2026-10-12</t>
        </is>
      </c>
      <c r="AB3" t="inlineStr">
        <is>
          <t>2026-10-19</t>
        </is>
      </c>
    </row>
    <row r="4">
      <c r="A4" s="31" t="inlineStr">
        <is>
          <t>Код</t>
        </is>
      </c>
      <c r="B4" s="31" t="inlineStr">
        <is>
          <t>AKA</t>
        </is>
      </c>
      <c r="C4" s="31" t="inlineStr">
        <is>
          <t>27.04–03.05*</t>
        </is>
      </c>
      <c r="D4" s="31" t="inlineStr">
        <is>
          <t>04.05–10.05</t>
        </is>
      </c>
      <c r="E4" s="31" t="inlineStr">
        <is>
          <t>11.05–17.05</t>
        </is>
      </c>
      <c r="F4" s="31" t="inlineStr">
        <is>
          <t>18.05–24.05</t>
        </is>
      </c>
      <c r="G4" s="31" t="inlineStr">
        <is>
          <t>25.05–31.05</t>
        </is>
      </c>
      <c r="H4" s="31" t="inlineStr">
        <is>
          <t>01.06–07.06</t>
        </is>
      </c>
      <c r="I4" s="31" t="inlineStr">
        <is>
          <t>08.06–14.06</t>
        </is>
      </c>
      <c r="J4" s="31" t="inlineStr">
        <is>
          <t>15.06–21.06</t>
        </is>
      </c>
      <c r="K4" s="31" t="inlineStr">
        <is>
          <t>22.06–28.06</t>
        </is>
      </c>
      <c r="L4" s="31" t="inlineStr">
        <is>
          <t>29.06–05.07</t>
        </is>
      </c>
      <c r="M4" s="31" t="inlineStr">
        <is>
          <t>06.07–12.07</t>
        </is>
      </c>
      <c r="N4" s="31" t="inlineStr">
        <is>
          <t>13.07–19.07</t>
        </is>
      </c>
      <c r="O4" s="31" t="inlineStr">
        <is>
          <t>20.07–26.07</t>
        </is>
      </c>
      <c r="P4" s="31" t="inlineStr">
        <is>
          <t>27.07–02.08</t>
        </is>
      </c>
      <c r="Q4" s="31" t="inlineStr">
        <is>
          <t>03.08–09.08</t>
        </is>
      </c>
      <c r="R4" s="31" t="inlineStr">
        <is>
          <t>10.08–16.08</t>
        </is>
      </c>
      <c r="S4" s="31" t="inlineStr">
        <is>
          <t>17.08–23.08</t>
        </is>
      </c>
      <c r="T4" s="31" t="inlineStr">
        <is>
          <t>24.08–30.08</t>
        </is>
      </c>
      <c r="U4" s="31" t="inlineStr">
        <is>
          <t>31.08–06.09</t>
        </is>
      </c>
      <c r="V4" s="31" t="inlineStr">
        <is>
          <t>07.09–13.09</t>
        </is>
      </c>
      <c r="W4" s="31" t="inlineStr">
        <is>
          <t>14.09–20.09</t>
        </is>
      </c>
      <c r="X4" s="31" t="inlineStr">
        <is>
          <t>21.09–27.09</t>
        </is>
      </c>
      <c r="Y4" s="31" t="inlineStr">
        <is>
          <t>28.09–04.10</t>
        </is>
      </c>
      <c r="Z4" s="31" t="inlineStr">
        <is>
          <t>05.10–11.10</t>
        </is>
      </c>
      <c r="AA4" s="31" t="inlineStr">
        <is>
          <t>12.10–18.10</t>
        </is>
      </c>
      <c r="AB4" s="31" t="inlineStr">
        <is>
          <t>19.10–25.10*</t>
        </is>
      </c>
    </row>
    <row r="5">
      <c r="A5" s="32" t="inlineStr">
        <is>
          <t>Дней с данными</t>
        </is>
      </c>
      <c r="B5" s="33" t="inlineStr"/>
      <c r="C5" s="34" t="n">
        <v>3</v>
      </c>
      <c r="D5" s="34" t="n">
        <v>7</v>
      </c>
      <c r="E5" s="34" t="n">
        <v>7</v>
      </c>
      <c r="F5" s="34" t="n">
        <v>7</v>
      </c>
      <c r="G5" s="34" t="n">
        <v>7</v>
      </c>
      <c r="H5" s="34" t="n">
        <v>7</v>
      </c>
      <c r="I5" s="34" t="n">
        <v>7</v>
      </c>
      <c r="J5" s="34" t="n">
        <v>7</v>
      </c>
      <c r="K5" s="34" t="n">
        <v>7</v>
      </c>
      <c r="L5" s="34" t="n">
        <v>7</v>
      </c>
      <c r="M5" s="34" t="n">
        <v>7</v>
      </c>
      <c r="N5" s="34" t="n">
        <v>7</v>
      </c>
      <c r="O5" s="34" t="n">
        <v>7</v>
      </c>
      <c r="P5" s="34" t="n">
        <v>7</v>
      </c>
      <c r="Q5" s="34" t="n">
        <v>7</v>
      </c>
      <c r="R5" s="34" t="n">
        <v>7</v>
      </c>
      <c r="S5" s="34" t="n">
        <v>7</v>
      </c>
      <c r="T5" s="34" t="n">
        <v>7</v>
      </c>
      <c r="U5" s="34" t="n">
        <v>7</v>
      </c>
      <c r="V5" s="34" t="n">
        <v>7</v>
      </c>
      <c r="W5" s="34" t="n">
        <v>7</v>
      </c>
      <c r="X5" s="34" t="n">
        <v>7</v>
      </c>
      <c r="Y5" s="34" t="n">
        <v>7</v>
      </c>
      <c r="Z5" s="34" t="n">
        <v>7</v>
      </c>
      <c r="AA5" s="34" t="n">
        <v>7</v>
      </c>
      <c r="AB5" s="34" t="n">
        <v>3</v>
      </c>
    </row>
    <row r="6">
      <c r="A6" s="35" t="inlineStr">
        <is>
          <t>FRТАШ-291</t>
        </is>
      </c>
      <c r="B6" s="35" t="inlineStr">
        <is>
          <t>Бабур</t>
        </is>
      </c>
      <c r="C6" s="42" t="n">
        <v>0</v>
      </c>
      <c r="D6" s="42" t="n">
        <v>4</v>
      </c>
      <c r="E6" s="42" t="n">
        <v>7</v>
      </c>
      <c r="F6" s="42" t="n">
        <v>7</v>
      </c>
      <c r="G6" s="42" t="n">
        <v>7</v>
      </c>
      <c r="H6" s="42" t="n">
        <v>7</v>
      </c>
      <c r="I6" s="42" t="n">
        <v>7</v>
      </c>
      <c r="J6" s="42" t="n">
        <v>7</v>
      </c>
      <c r="K6" s="42" t="n">
        <v>7</v>
      </c>
      <c r="L6" s="42" t="n">
        <v>7</v>
      </c>
      <c r="M6" s="42" t="n">
        <v>7</v>
      </c>
      <c r="N6" s="42" t="n">
        <v>7</v>
      </c>
      <c r="O6" s="42" t="n">
        <v>7</v>
      </c>
      <c r="P6" s="42" t="n">
        <v>7</v>
      </c>
      <c r="Q6" s="42" t="n">
        <v>7</v>
      </c>
      <c r="R6" s="42" t="n">
        <v>7</v>
      </c>
      <c r="S6" s="42" t="n">
        <v>7</v>
      </c>
      <c r="T6" s="42" t="n">
        <v>7</v>
      </c>
      <c r="U6" s="42" t="n">
        <v>7</v>
      </c>
      <c r="V6" s="42" t="n">
        <v>7</v>
      </c>
      <c r="W6" s="42" t="n">
        <v>7</v>
      </c>
      <c r="X6" s="42" t="n">
        <v>7</v>
      </c>
      <c r="Y6" s="42" t="n">
        <v>7</v>
      </c>
      <c r="Z6" s="42" t="n">
        <v>6</v>
      </c>
      <c r="AA6" s="42" t="n">
        <v>7</v>
      </c>
      <c r="AB6" s="42" t="n">
        <v>3</v>
      </c>
    </row>
    <row r="7">
      <c r="A7" s="35" t="inlineStr">
        <is>
          <t>FRТАШ-289</t>
        </is>
      </c>
      <c r="B7" s="35" t="inlineStr">
        <is>
          <t>Афросиаб</t>
        </is>
      </c>
      <c r="C7" s="42" t="n">
        <v>0</v>
      </c>
      <c r="D7" s="42" t="n">
        <v>0</v>
      </c>
      <c r="E7" s="42" t="n">
        <v>3</v>
      </c>
      <c r="F7" s="42" t="n">
        <v>7</v>
      </c>
      <c r="G7" s="42" t="n">
        <v>7</v>
      </c>
      <c r="H7" s="42" t="n">
        <v>7</v>
      </c>
      <c r="I7" s="42" t="n">
        <v>7</v>
      </c>
      <c r="J7" s="42" t="n">
        <v>7</v>
      </c>
      <c r="K7" s="42" t="n">
        <v>7</v>
      </c>
      <c r="L7" s="42" t="n">
        <v>7</v>
      </c>
      <c r="M7" s="42" t="n">
        <v>7</v>
      </c>
      <c r="N7" s="42" t="n">
        <v>7</v>
      </c>
      <c r="O7" s="42" t="n">
        <v>7</v>
      </c>
      <c r="P7" s="42" t="n">
        <v>7</v>
      </c>
      <c r="Q7" s="42" t="n">
        <v>7</v>
      </c>
      <c r="R7" s="42" t="n">
        <v>7</v>
      </c>
      <c r="S7" s="42" t="n">
        <v>7</v>
      </c>
      <c r="T7" s="42" t="n">
        <v>7</v>
      </c>
      <c r="U7" s="42" t="n">
        <v>7</v>
      </c>
      <c r="V7" s="42" t="n">
        <v>7</v>
      </c>
      <c r="W7" s="42" t="n">
        <v>7</v>
      </c>
      <c r="X7" s="42" t="n">
        <v>7</v>
      </c>
      <c r="Y7" s="42" t="n">
        <v>7</v>
      </c>
      <c r="Z7" s="42" t="n">
        <v>6</v>
      </c>
      <c r="AA7" s="42" t="n">
        <v>7</v>
      </c>
      <c r="AB7" s="42" t="n">
        <v>3</v>
      </c>
    </row>
    <row r="8">
      <c r="A8" s="35" t="inlineStr">
        <is>
          <t>FRТАШ-290</t>
        </is>
      </c>
      <c r="B8" s="35" t="inlineStr">
        <is>
          <t>Буз-1</t>
        </is>
      </c>
      <c r="C8" s="42" t="n">
        <v>0</v>
      </c>
      <c r="D8" s="42" t="n">
        <v>4</v>
      </c>
      <c r="E8" s="42" t="n">
        <v>7</v>
      </c>
      <c r="F8" s="42" t="n">
        <v>7</v>
      </c>
      <c r="G8" s="42" t="n">
        <v>7</v>
      </c>
      <c r="H8" s="42" t="n">
        <v>7</v>
      </c>
      <c r="I8" s="42" t="n">
        <v>7</v>
      </c>
      <c r="J8" s="42" t="n">
        <v>7</v>
      </c>
      <c r="K8" s="42" t="n">
        <v>7</v>
      </c>
      <c r="L8" s="42" t="n">
        <v>7</v>
      </c>
      <c r="M8" s="42" t="n">
        <v>7</v>
      </c>
      <c r="N8" s="42" t="n">
        <v>7</v>
      </c>
      <c r="O8" s="42" t="n">
        <v>7</v>
      </c>
      <c r="P8" s="42" t="n">
        <v>7</v>
      </c>
      <c r="Q8" s="42" t="n">
        <v>7</v>
      </c>
      <c r="R8" s="42" t="n">
        <v>7</v>
      </c>
      <c r="S8" s="42" t="n">
        <v>7</v>
      </c>
      <c r="T8" s="42" t="n">
        <v>7</v>
      </c>
      <c r="U8" s="42" t="n">
        <v>7</v>
      </c>
      <c r="V8" s="42" t="n">
        <v>7</v>
      </c>
      <c r="W8" s="42" t="n">
        <v>7</v>
      </c>
      <c r="X8" s="42" t="n">
        <v>7</v>
      </c>
      <c r="Y8" s="42" t="n">
        <v>7</v>
      </c>
      <c r="Z8" s="42" t="n">
        <v>7</v>
      </c>
      <c r="AA8" s="42" t="n">
        <v>7</v>
      </c>
      <c r="AB8" s="42" t="n">
        <v>3</v>
      </c>
    </row>
    <row r="9">
      <c r="A9" s="35" t="inlineStr">
        <is>
          <t>FRТАШ-292</t>
        </is>
      </c>
      <c r="B9" s="35" t="inlineStr">
        <is>
          <t>Спутник</t>
        </is>
      </c>
      <c r="C9" s="42" t="n">
        <v>0</v>
      </c>
      <c r="D9" s="42" t="n">
        <v>4</v>
      </c>
      <c r="E9" s="42" t="n">
        <v>7</v>
      </c>
      <c r="F9" s="42" t="n">
        <v>7</v>
      </c>
      <c r="G9" s="42" t="n">
        <v>7</v>
      </c>
      <c r="H9" s="42" t="n">
        <v>7</v>
      </c>
      <c r="I9" s="42" t="n">
        <v>7</v>
      </c>
      <c r="J9" s="42" t="n">
        <v>7</v>
      </c>
      <c r="K9" s="42" t="n">
        <v>7</v>
      </c>
      <c r="L9" s="42" t="n">
        <v>7</v>
      </c>
      <c r="M9" s="42" t="n">
        <v>7</v>
      </c>
      <c r="N9" s="42" t="n">
        <v>7</v>
      </c>
      <c r="O9" s="42" t="n">
        <v>7</v>
      </c>
      <c r="P9" s="42" t="n">
        <v>7</v>
      </c>
      <c r="Q9" s="42" t="n">
        <v>7</v>
      </c>
      <c r="R9" s="42" t="n">
        <v>7</v>
      </c>
      <c r="S9" s="42" t="n">
        <v>7</v>
      </c>
      <c r="T9" s="42" t="n">
        <v>7</v>
      </c>
      <c r="U9" s="42" t="n">
        <v>7</v>
      </c>
      <c r="V9" s="42" t="n">
        <v>7</v>
      </c>
      <c r="W9" s="42" t="n">
        <v>7</v>
      </c>
      <c r="X9" s="42" t="n">
        <v>7</v>
      </c>
      <c r="Y9" s="42" t="n">
        <v>7</v>
      </c>
      <c r="Z9" s="42" t="n">
        <v>7</v>
      </c>
      <c r="AA9" s="42" t="n">
        <v>7</v>
      </c>
      <c r="AB9" s="42" t="n">
        <v>3</v>
      </c>
    </row>
    <row r="10">
      <c r="A10" s="35" t="inlineStr">
        <is>
          <t>FRТАШ-294</t>
        </is>
      </c>
      <c r="B10" s="35" t="inlineStr">
        <is>
          <t>Шастри</t>
        </is>
      </c>
      <c r="C10" s="42" t="n">
        <v>3</v>
      </c>
      <c r="D10" s="42" t="n">
        <v>7</v>
      </c>
      <c r="E10" s="42" t="n">
        <v>7</v>
      </c>
      <c r="F10" s="42" t="n">
        <v>7</v>
      </c>
      <c r="G10" s="42" t="n">
        <v>7</v>
      </c>
      <c r="H10" s="42" t="n">
        <v>7</v>
      </c>
      <c r="I10" s="42" t="n">
        <v>7</v>
      </c>
      <c r="J10" s="42" t="n">
        <v>7</v>
      </c>
      <c r="K10" s="42" t="n">
        <v>7</v>
      </c>
      <c r="L10" s="42" t="n">
        <v>7</v>
      </c>
      <c r="M10" s="42" t="n">
        <v>7</v>
      </c>
      <c r="N10" s="42" t="n">
        <v>7</v>
      </c>
      <c r="O10" s="42" t="n">
        <v>7</v>
      </c>
      <c r="P10" s="42" t="n">
        <v>7</v>
      </c>
      <c r="Q10" s="42" t="n">
        <v>7</v>
      </c>
      <c r="R10" s="42" t="n">
        <v>7</v>
      </c>
      <c r="S10" s="42" t="n">
        <v>7</v>
      </c>
      <c r="T10" s="42" t="n">
        <v>7</v>
      </c>
      <c r="U10" s="42" t="n">
        <v>7</v>
      </c>
      <c r="V10" s="42" t="n">
        <v>7</v>
      </c>
      <c r="W10" s="42" t="n">
        <v>7</v>
      </c>
      <c r="X10" s="42" t="n">
        <v>7</v>
      </c>
      <c r="Y10" s="42" t="n">
        <v>7</v>
      </c>
      <c r="Z10" s="42" t="n">
        <v>7</v>
      </c>
      <c r="AA10" s="42" t="n">
        <v>7</v>
      </c>
      <c r="AB10" s="42" t="n">
        <v>3</v>
      </c>
    </row>
    <row r="11">
      <c r="A11" s="35" t="inlineStr">
        <is>
          <t>FRБХР-30</t>
        </is>
      </c>
      <c r="B11" s="35" t="inlineStr">
        <is>
          <t>Бухара</t>
        </is>
      </c>
      <c r="C11" s="42" t="n">
        <v>1</v>
      </c>
      <c r="D11" s="42" t="n">
        <v>7</v>
      </c>
      <c r="E11" s="42" t="n">
        <v>7</v>
      </c>
      <c r="F11" s="42" t="n">
        <v>7</v>
      </c>
      <c r="G11" s="42" t="n">
        <v>7</v>
      </c>
      <c r="H11" s="42" t="n">
        <v>7</v>
      </c>
      <c r="I11" s="42" t="n">
        <v>7</v>
      </c>
      <c r="J11" s="42" t="n">
        <v>7</v>
      </c>
      <c r="K11" s="42" t="n">
        <v>7</v>
      </c>
      <c r="L11" s="42" t="n">
        <v>7</v>
      </c>
      <c r="M11" s="42" t="n">
        <v>7</v>
      </c>
      <c r="N11" s="42" t="n">
        <v>7</v>
      </c>
      <c r="O11" s="42" t="n">
        <v>7</v>
      </c>
      <c r="P11" s="42" t="n">
        <v>7</v>
      </c>
      <c r="Q11" s="42" t="n">
        <v>7</v>
      </c>
      <c r="R11" s="42" t="n">
        <v>7</v>
      </c>
      <c r="S11" s="42" t="n">
        <v>7</v>
      </c>
      <c r="T11" s="42" t="n">
        <v>7</v>
      </c>
      <c r="U11" s="42" t="n">
        <v>7</v>
      </c>
      <c r="V11" s="42" t="n">
        <v>7</v>
      </c>
      <c r="W11" s="42" t="n">
        <v>7</v>
      </c>
      <c r="X11" s="42" t="n">
        <v>7</v>
      </c>
      <c r="Y11" s="42" t="n">
        <v>7</v>
      </c>
      <c r="Z11" s="42" t="n">
        <v>7</v>
      </c>
      <c r="AA11" s="42" t="n">
        <v>7</v>
      </c>
      <c r="AB11" s="42" t="n">
        <v>3</v>
      </c>
    </row>
    <row r="12">
      <c r="A12" s="35" t="inlineStr">
        <is>
          <t>FRТАШ-293</t>
        </is>
      </c>
      <c r="B12" s="35" t="inlineStr">
        <is>
          <t>Кургантепа</t>
        </is>
      </c>
      <c r="C12" s="42" t="n">
        <v>0</v>
      </c>
      <c r="D12" s="42" t="n">
        <v>0</v>
      </c>
      <c r="E12" s="42" t="n">
        <v>5</v>
      </c>
      <c r="F12" s="42" t="n">
        <v>7</v>
      </c>
      <c r="G12" s="42" t="n">
        <v>7</v>
      </c>
      <c r="H12" s="42" t="n">
        <v>7</v>
      </c>
      <c r="I12" s="42" t="n">
        <v>7</v>
      </c>
      <c r="J12" s="42" t="n">
        <v>7</v>
      </c>
      <c r="K12" s="42" t="n">
        <v>7</v>
      </c>
      <c r="L12" s="42" t="n">
        <v>7</v>
      </c>
      <c r="M12" s="42" t="n">
        <v>7</v>
      </c>
      <c r="N12" s="42" t="n">
        <v>7</v>
      </c>
      <c r="O12" s="42" t="n">
        <v>7</v>
      </c>
      <c r="P12" s="42" t="n">
        <v>7</v>
      </c>
      <c r="Q12" s="42" t="n">
        <v>7</v>
      </c>
      <c r="R12" s="42" t="n">
        <v>7</v>
      </c>
      <c r="S12" s="42" t="n">
        <v>7</v>
      </c>
      <c r="T12" s="42" t="n">
        <v>7</v>
      </c>
      <c r="U12" s="42" t="n">
        <v>7</v>
      </c>
      <c r="V12" s="42" t="n">
        <v>7</v>
      </c>
      <c r="W12" s="42" t="n">
        <v>7</v>
      </c>
      <c r="X12" s="42" t="n">
        <v>7</v>
      </c>
      <c r="Y12" s="42" t="n">
        <v>7</v>
      </c>
      <c r="Z12" s="42" t="n">
        <v>6</v>
      </c>
      <c r="AA12" s="42" t="n">
        <v>7</v>
      </c>
      <c r="AB12" s="42" t="n">
        <v>3</v>
      </c>
    </row>
    <row r="13">
      <c r="A13" s="35" t="inlineStr">
        <is>
          <t>FRАЛМ-9</t>
        </is>
      </c>
      <c r="B13" s="35" t="inlineStr">
        <is>
          <t>Алмалык Амир Т</t>
        </is>
      </c>
      <c r="C13" s="42" t="n">
        <v>0</v>
      </c>
      <c r="D13" s="42" t="n">
        <v>3</v>
      </c>
      <c r="E13" s="42" t="n">
        <v>7</v>
      </c>
      <c r="F13" s="42" t="n">
        <v>7</v>
      </c>
      <c r="G13" s="42" t="n">
        <v>7</v>
      </c>
      <c r="H13" s="42" t="n">
        <v>7</v>
      </c>
      <c r="I13" s="42" t="n">
        <v>7</v>
      </c>
      <c r="J13" s="42" t="n">
        <v>7</v>
      </c>
      <c r="K13" s="42" t="n">
        <v>7</v>
      </c>
      <c r="L13" s="42" t="n">
        <v>7</v>
      </c>
      <c r="M13" s="42" t="n">
        <v>7</v>
      </c>
      <c r="N13" s="42" t="n">
        <v>7</v>
      </c>
      <c r="O13" s="42" t="n">
        <v>7</v>
      </c>
      <c r="P13" s="42" t="n">
        <v>7</v>
      </c>
      <c r="Q13" s="42" t="n">
        <v>7</v>
      </c>
      <c r="R13" s="42" t="n">
        <v>7</v>
      </c>
      <c r="S13" s="42" t="n">
        <v>7</v>
      </c>
      <c r="T13" s="42" t="n">
        <v>7</v>
      </c>
      <c r="U13" s="42" t="n">
        <v>7</v>
      </c>
      <c r="V13" s="42" t="n">
        <v>7</v>
      </c>
      <c r="W13" s="42" t="n">
        <v>7</v>
      </c>
      <c r="X13" s="42" t="n">
        <v>7</v>
      </c>
      <c r="Y13" s="42" t="n">
        <v>7</v>
      </c>
      <c r="Z13" s="42" t="n">
        <v>7</v>
      </c>
      <c r="AA13" s="42" t="n">
        <v>7</v>
      </c>
      <c r="AB13" s="42" t="n">
        <v>3</v>
      </c>
    </row>
    <row r="14">
      <c r="A14" s="35" t="inlineStr">
        <is>
          <t>FRСМК-52</t>
        </is>
      </c>
      <c r="B14" s="35" t="inlineStr">
        <is>
          <t>Рудаки</t>
        </is>
      </c>
      <c r="C14" s="42" t="n">
        <v>0</v>
      </c>
      <c r="D14" s="42" t="n">
        <v>6</v>
      </c>
      <c r="E14" s="42" t="n">
        <v>7</v>
      </c>
      <c r="F14" s="42" t="n">
        <v>7</v>
      </c>
      <c r="G14" s="42" t="n">
        <v>7</v>
      </c>
      <c r="H14" s="42" t="n">
        <v>7</v>
      </c>
      <c r="I14" s="42" t="n">
        <v>7</v>
      </c>
      <c r="J14" s="42" t="n">
        <v>7</v>
      </c>
      <c r="K14" s="42" t="n">
        <v>7</v>
      </c>
      <c r="L14" s="42" t="n">
        <v>7</v>
      </c>
      <c r="M14" s="42" t="n">
        <v>7</v>
      </c>
      <c r="N14" s="42" t="n">
        <v>7</v>
      </c>
      <c r="O14" s="42" t="n">
        <v>7</v>
      </c>
      <c r="P14" s="42" t="n">
        <v>7</v>
      </c>
      <c r="Q14" s="42" t="n">
        <v>7</v>
      </c>
      <c r="R14" s="42" t="n">
        <v>7</v>
      </c>
      <c r="S14" s="42" t="n">
        <v>7</v>
      </c>
      <c r="T14" s="42" t="n">
        <v>7</v>
      </c>
      <c r="U14" s="42" t="n">
        <v>7</v>
      </c>
      <c r="V14" s="42" t="n">
        <v>7</v>
      </c>
      <c r="W14" s="42" t="n">
        <v>7</v>
      </c>
      <c r="X14" s="42" t="n">
        <v>7</v>
      </c>
      <c r="Y14" s="42" t="n">
        <v>7</v>
      </c>
      <c r="Z14" s="42" t="n">
        <v>7</v>
      </c>
      <c r="AA14" s="42" t="n">
        <v>7</v>
      </c>
      <c r="AB14" s="42" t="n">
        <v>3</v>
      </c>
    </row>
    <row r="15">
      <c r="A15" s="35" t="inlineStr">
        <is>
          <t>FRТАШ-308</t>
        </is>
      </c>
      <c r="B15" s="35" t="inlineStr">
        <is>
          <t>Янгиюнусабад</t>
        </is>
      </c>
      <c r="C15" s="42" t="n">
        <v>2</v>
      </c>
      <c r="D15" s="42" t="n">
        <v>7</v>
      </c>
      <c r="E15" s="42" t="n">
        <v>7</v>
      </c>
      <c r="F15" s="42" t="n">
        <v>7</v>
      </c>
      <c r="G15" s="42" t="n">
        <v>7</v>
      </c>
      <c r="H15" s="42" t="n">
        <v>7</v>
      </c>
      <c r="I15" s="42" t="n">
        <v>7</v>
      </c>
      <c r="J15" s="42" t="n">
        <v>7</v>
      </c>
      <c r="K15" s="42" t="n">
        <v>7</v>
      </c>
      <c r="L15" s="42" t="n">
        <v>7</v>
      </c>
      <c r="M15" s="42" t="n">
        <v>7</v>
      </c>
      <c r="N15" s="42" t="n">
        <v>7</v>
      </c>
      <c r="O15" s="42" t="n">
        <v>7</v>
      </c>
      <c r="P15" s="42" t="n">
        <v>7</v>
      </c>
      <c r="Q15" s="42" t="n">
        <v>7</v>
      </c>
      <c r="R15" s="42" t="n">
        <v>7</v>
      </c>
      <c r="S15" s="42" t="n">
        <v>7</v>
      </c>
      <c r="T15" s="42" t="n">
        <v>7</v>
      </c>
      <c r="U15" s="42" t="n">
        <v>7</v>
      </c>
      <c r="V15" s="42" t="n">
        <v>7</v>
      </c>
      <c r="W15" s="42" t="n">
        <v>7</v>
      </c>
      <c r="X15" s="42" t="n">
        <v>7</v>
      </c>
      <c r="Y15" s="42" t="n">
        <v>7</v>
      </c>
      <c r="Z15" s="42" t="n">
        <v>6</v>
      </c>
      <c r="AA15" s="42" t="n">
        <v>7</v>
      </c>
      <c r="AB15" s="42" t="n">
        <v>3</v>
      </c>
    </row>
    <row r="16">
      <c r="A16" s="35" t="inlineStr">
        <is>
          <t>FRБУК-2</t>
        </is>
      </c>
      <c r="B16" s="35" t="inlineStr">
        <is>
          <t>Бука</t>
        </is>
      </c>
      <c r="C16" s="42" t="n">
        <v>0</v>
      </c>
      <c r="D16" s="42" t="n">
        <v>5</v>
      </c>
      <c r="E16" s="42" t="n">
        <v>7</v>
      </c>
      <c r="F16" s="42" t="n">
        <v>7</v>
      </c>
      <c r="G16" s="42" t="n">
        <v>7</v>
      </c>
      <c r="H16" s="42" t="n">
        <v>7</v>
      </c>
      <c r="I16" s="42" t="n">
        <v>7</v>
      </c>
      <c r="J16" s="42" t="n">
        <v>7</v>
      </c>
      <c r="K16" s="42" t="n">
        <v>7</v>
      </c>
      <c r="L16" s="42" t="n">
        <v>7</v>
      </c>
      <c r="M16" s="42" t="n">
        <v>7</v>
      </c>
      <c r="N16" s="42" t="n">
        <v>7</v>
      </c>
      <c r="O16" s="42" t="n">
        <v>7</v>
      </c>
      <c r="P16" s="42" t="n">
        <v>7</v>
      </c>
      <c r="Q16" s="42" t="n">
        <v>7</v>
      </c>
      <c r="R16" s="42" t="n">
        <v>7</v>
      </c>
      <c r="S16" s="42" t="n">
        <v>7</v>
      </c>
      <c r="T16" s="42" t="n">
        <v>7</v>
      </c>
      <c r="U16" s="42" t="n">
        <v>7</v>
      </c>
      <c r="V16" s="42" t="n">
        <v>7</v>
      </c>
      <c r="W16" s="42" t="n">
        <v>7</v>
      </c>
      <c r="X16" s="42" t="n">
        <v>7</v>
      </c>
      <c r="Y16" s="42" t="n">
        <v>7</v>
      </c>
      <c r="Z16" s="42" t="n">
        <v>6</v>
      </c>
      <c r="AA16" s="42" t="n">
        <v>7</v>
      </c>
      <c r="AB16" s="42" t="n">
        <v>3</v>
      </c>
    </row>
    <row r="17">
      <c r="A17" s="35" t="inlineStr">
        <is>
          <t>FRГАЗ-4</t>
        </is>
      </c>
      <c r="B17" s="35" t="inlineStr">
        <is>
          <t>Газалкент</t>
        </is>
      </c>
      <c r="C17" s="42" t="n">
        <v>2</v>
      </c>
      <c r="D17" s="42" t="n">
        <v>7</v>
      </c>
      <c r="E17" s="42" t="n">
        <v>7</v>
      </c>
      <c r="F17" s="42" t="n">
        <v>7</v>
      </c>
      <c r="G17" s="42" t="n">
        <v>7</v>
      </c>
      <c r="H17" s="42" t="n">
        <v>7</v>
      </c>
      <c r="I17" s="42" t="n">
        <v>7</v>
      </c>
      <c r="J17" s="42" t="n">
        <v>7</v>
      </c>
      <c r="K17" s="42" t="n">
        <v>7</v>
      </c>
      <c r="L17" s="42" t="n">
        <v>7</v>
      </c>
      <c r="M17" s="42" t="n">
        <v>7</v>
      </c>
      <c r="N17" s="42" t="n">
        <v>7</v>
      </c>
      <c r="O17" s="42" t="n">
        <v>7</v>
      </c>
      <c r="P17" s="42" t="n">
        <v>7</v>
      </c>
      <c r="Q17" s="42" t="n">
        <v>7</v>
      </c>
      <c r="R17" s="42" t="n">
        <v>7</v>
      </c>
      <c r="S17" s="42" t="n">
        <v>7</v>
      </c>
      <c r="T17" s="42" t="n">
        <v>7</v>
      </c>
      <c r="U17" s="42" t="n">
        <v>7</v>
      </c>
      <c r="V17" s="42" t="n">
        <v>7</v>
      </c>
      <c r="W17" s="42" t="n">
        <v>7</v>
      </c>
      <c r="X17" s="42" t="n">
        <v>7</v>
      </c>
      <c r="Y17" s="42" t="n">
        <v>7</v>
      </c>
      <c r="Z17" s="42" t="n">
        <v>7</v>
      </c>
      <c r="AA17" s="42" t="n">
        <v>7</v>
      </c>
      <c r="AB17" s="42" t="n">
        <v>3</v>
      </c>
    </row>
    <row r="18">
      <c r="A18" s="35" t="inlineStr">
        <is>
          <t>FRАЛМ-10</t>
        </is>
      </c>
      <c r="B18" s="35" t="inlineStr">
        <is>
          <t>Алмалык Мустакилик</t>
        </is>
      </c>
      <c r="C18" s="42" t="n">
        <v>0</v>
      </c>
      <c r="D18" s="42" t="n">
        <v>3</v>
      </c>
      <c r="E18" s="42" t="n">
        <v>7</v>
      </c>
      <c r="F18" s="42" t="n">
        <v>7</v>
      </c>
      <c r="G18" s="42" t="n">
        <v>7</v>
      </c>
      <c r="H18" s="42" t="n">
        <v>7</v>
      </c>
      <c r="I18" s="42" t="n">
        <v>7</v>
      </c>
      <c r="J18" s="42" t="n">
        <v>7</v>
      </c>
      <c r="K18" s="42" t="n">
        <v>7</v>
      </c>
      <c r="L18" s="42" t="n">
        <v>7</v>
      </c>
      <c r="M18" s="42" t="n">
        <v>7</v>
      </c>
      <c r="N18" s="42" t="n">
        <v>7</v>
      </c>
      <c r="O18" s="42" t="n">
        <v>7</v>
      </c>
      <c r="P18" s="42" t="n">
        <v>7</v>
      </c>
      <c r="Q18" s="42" t="n">
        <v>7</v>
      </c>
      <c r="R18" s="42" t="n">
        <v>7</v>
      </c>
      <c r="S18" s="42" t="n">
        <v>7</v>
      </c>
      <c r="T18" s="42" t="n">
        <v>7</v>
      </c>
      <c r="U18" s="42" t="n">
        <v>7</v>
      </c>
      <c r="V18" s="42" t="n">
        <v>7</v>
      </c>
      <c r="W18" s="42" t="n">
        <v>7</v>
      </c>
      <c r="X18" s="42" t="n">
        <v>7</v>
      </c>
      <c r="Y18" s="42" t="n">
        <v>7</v>
      </c>
      <c r="Z18" s="42" t="n">
        <v>7</v>
      </c>
      <c r="AA18" s="42" t="n">
        <v>7</v>
      </c>
      <c r="AB18" s="42" t="n">
        <v>3</v>
      </c>
    </row>
    <row r="19">
      <c r="A19" s="35" t="inlineStr">
        <is>
          <t>FRСМК-53</t>
        </is>
      </c>
      <c r="B19" s="35" t="inlineStr">
        <is>
          <t>Андижанская</t>
        </is>
      </c>
      <c r="C19" s="42" t="n">
        <v>0</v>
      </c>
      <c r="D19" s="42" t="n">
        <v>0</v>
      </c>
      <c r="E19" s="42" t="n">
        <v>0</v>
      </c>
      <c r="F19" s="42" t="n">
        <v>2</v>
      </c>
      <c r="G19" s="42" t="n">
        <v>6</v>
      </c>
      <c r="H19" s="42" t="n">
        <v>7</v>
      </c>
      <c r="I19" s="42" t="n">
        <v>7</v>
      </c>
      <c r="J19" s="42" t="n">
        <v>7</v>
      </c>
      <c r="K19" s="42" t="n">
        <v>7</v>
      </c>
      <c r="L19" s="42" t="n">
        <v>7</v>
      </c>
      <c r="M19" s="42" t="n">
        <v>7</v>
      </c>
      <c r="N19" s="42" t="n">
        <v>7</v>
      </c>
      <c r="O19" s="42" t="n">
        <v>7</v>
      </c>
      <c r="P19" s="42" t="n">
        <v>7</v>
      </c>
      <c r="Q19" s="42" t="n">
        <v>7</v>
      </c>
      <c r="R19" s="42" t="n">
        <v>7</v>
      </c>
      <c r="S19" s="42" t="n">
        <v>7</v>
      </c>
      <c r="T19" s="42" t="n">
        <v>7</v>
      </c>
      <c r="U19" s="42" t="n">
        <v>7</v>
      </c>
      <c r="V19" s="42" t="n">
        <v>7</v>
      </c>
      <c r="W19" s="42" t="n">
        <v>7</v>
      </c>
      <c r="X19" s="42" t="n">
        <v>7</v>
      </c>
      <c r="Y19" s="42" t="n">
        <v>7</v>
      </c>
      <c r="Z19" s="42" t="n">
        <v>7</v>
      </c>
      <c r="AA19" s="42" t="n">
        <v>7</v>
      </c>
      <c r="AB19" s="42" t="n">
        <v>3</v>
      </c>
    </row>
    <row r="20">
      <c r="A20" s="35" t="inlineStr">
        <is>
          <t>FRПСК-2</t>
        </is>
      </c>
      <c r="B20" s="35" t="inlineStr">
        <is>
          <t>Пскент</t>
        </is>
      </c>
      <c r="C20" s="42" t="n">
        <v>0</v>
      </c>
      <c r="D20" s="42" t="n">
        <v>0</v>
      </c>
      <c r="E20" s="42" t="n">
        <v>0</v>
      </c>
      <c r="F20" s="42" t="n">
        <v>4</v>
      </c>
      <c r="G20" s="42" t="n">
        <v>7</v>
      </c>
      <c r="H20" s="42" t="n">
        <v>7</v>
      </c>
      <c r="I20" s="42" t="n">
        <v>7</v>
      </c>
      <c r="J20" s="42" t="n">
        <v>7</v>
      </c>
      <c r="K20" s="42" t="n">
        <v>7</v>
      </c>
      <c r="L20" s="42" t="n">
        <v>7</v>
      </c>
      <c r="M20" s="42" t="n">
        <v>7</v>
      </c>
      <c r="N20" s="42" t="n">
        <v>7</v>
      </c>
      <c r="O20" s="42" t="n">
        <v>7</v>
      </c>
      <c r="P20" s="42" t="n">
        <v>7</v>
      </c>
      <c r="Q20" s="42" t="n">
        <v>7</v>
      </c>
      <c r="R20" s="42" t="n">
        <v>7</v>
      </c>
      <c r="S20" s="42" t="n">
        <v>7</v>
      </c>
      <c r="T20" s="42" t="n">
        <v>7</v>
      </c>
      <c r="U20" s="42" t="n">
        <v>7</v>
      </c>
      <c r="V20" s="42" t="n">
        <v>7</v>
      </c>
      <c r="W20" s="42" t="n">
        <v>7</v>
      </c>
      <c r="X20" s="42" t="n">
        <v>7</v>
      </c>
      <c r="Y20" s="42" t="n">
        <v>7</v>
      </c>
      <c r="Z20" s="42" t="n">
        <v>7</v>
      </c>
      <c r="AA20" s="42" t="n">
        <v>7</v>
      </c>
      <c r="AB20" s="42" t="n">
        <v>3</v>
      </c>
    </row>
    <row r="21">
      <c r="A21" s="35" t="inlineStr">
        <is>
          <t>FRТАШ-319</t>
        </is>
      </c>
      <c r="B21" s="35" t="inlineStr">
        <is>
          <t>Баку</t>
        </is>
      </c>
      <c r="C21" s="42" t="n">
        <v>0</v>
      </c>
      <c r="D21" s="42" t="n">
        <v>4</v>
      </c>
      <c r="E21" s="42" t="n">
        <v>7</v>
      </c>
      <c r="F21" s="42" t="n">
        <v>7</v>
      </c>
      <c r="G21" s="42" t="n">
        <v>7</v>
      </c>
      <c r="H21" s="42" t="n">
        <v>7</v>
      </c>
      <c r="I21" s="42" t="n">
        <v>7</v>
      </c>
      <c r="J21" s="42" t="n">
        <v>7</v>
      </c>
      <c r="K21" s="42" t="n">
        <v>7</v>
      </c>
      <c r="L21" s="42" t="n">
        <v>7</v>
      </c>
      <c r="M21" s="42" t="n">
        <v>7</v>
      </c>
      <c r="N21" s="42" t="n">
        <v>7</v>
      </c>
      <c r="O21" s="42" t="n">
        <v>7</v>
      </c>
      <c r="P21" s="42" t="n">
        <v>7</v>
      </c>
      <c r="Q21" s="42" t="n">
        <v>7</v>
      </c>
      <c r="R21" s="42" t="n">
        <v>7</v>
      </c>
      <c r="S21" s="42" t="n">
        <v>7</v>
      </c>
      <c r="T21" s="42" t="n">
        <v>7</v>
      </c>
      <c r="U21" s="42" t="n">
        <v>7</v>
      </c>
      <c r="V21" s="42" t="n">
        <v>7</v>
      </c>
      <c r="W21" s="42" t="n">
        <v>7</v>
      </c>
      <c r="X21" s="42" t="n">
        <v>7</v>
      </c>
      <c r="Y21" s="42" t="n">
        <v>7</v>
      </c>
      <c r="Z21" s="42" t="n">
        <v>7</v>
      </c>
      <c r="AA21" s="42" t="n">
        <v>7</v>
      </c>
      <c r="AB21" s="42" t="n">
        <v>3</v>
      </c>
    </row>
    <row r="22">
      <c r="A22" s="35" t="inlineStr">
        <is>
          <t>FRТАШ-307</t>
        </is>
      </c>
      <c r="B22" s="35" t="inlineStr">
        <is>
          <t>Крестик</t>
        </is>
      </c>
      <c r="C22" s="42" t="n">
        <v>3</v>
      </c>
      <c r="D22" s="42" t="n">
        <v>7</v>
      </c>
      <c r="E22" s="42" t="n">
        <v>7</v>
      </c>
      <c r="F22" s="42" t="n">
        <v>7</v>
      </c>
      <c r="G22" s="42" t="n">
        <v>7</v>
      </c>
      <c r="H22" s="42" t="n">
        <v>7</v>
      </c>
      <c r="I22" s="42" t="n">
        <v>7</v>
      </c>
      <c r="J22" s="42" t="n">
        <v>7</v>
      </c>
      <c r="K22" s="42" t="n">
        <v>7</v>
      </c>
      <c r="L22" s="42" t="n">
        <v>7</v>
      </c>
      <c r="M22" s="42" t="n">
        <v>7</v>
      </c>
      <c r="N22" s="42" t="n">
        <v>7</v>
      </c>
      <c r="O22" s="42" t="n">
        <v>7</v>
      </c>
      <c r="P22" s="42" t="n">
        <v>7</v>
      </c>
      <c r="Q22" s="42" t="n">
        <v>7</v>
      </c>
      <c r="R22" s="42" t="n">
        <v>7</v>
      </c>
      <c r="S22" s="42" t="n">
        <v>7</v>
      </c>
      <c r="T22" s="42" t="n">
        <v>7</v>
      </c>
      <c r="U22" s="42" t="n">
        <v>7</v>
      </c>
      <c r="V22" s="42" t="n">
        <v>7</v>
      </c>
      <c r="W22" s="42" t="n">
        <v>7</v>
      </c>
      <c r="X22" s="42" t="n">
        <v>7</v>
      </c>
      <c r="Y22" s="42" t="n">
        <v>7</v>
      </c>
      <c r="Z22" s="42" t="n">
        <v>7</v>
      </c>
      <c r="AA22" s="42" t="n">
        <v>7</v>
      </c>
      <c r="AB22" s="42" t="n">
        <v>3</v>
      </c>
    </row>
    <row r="23">
      <c r="A23" s="35" t="inlineStr">
        <is>
          <t>FRМРГ-8</t>
        </is>
      </c>
      <c r="B23" s="35" t="inlineStr">
        <is>
          <t>Маргилан</t>
        </is>
      </c>
      <c r="C23" s="42" t="n">
        <v>0</v>
      </c>
      <c r="D23" s="42" t="n">
        <v>0</v>
      </c>
      <c r="E23" s="42" t="n">
        <v>0</v>
      </c>
      <c r="F23" s="42" t="n">
        <v>5</v>
      </c>
      <c r="G23" s="42" t="n">
        <v>7</v>
      </c>
      <c r="H23" s="42" t="n">
        <v>7</v>
      </c>
      <c r="I23" s="42" t="n">
        <v>7</v>
      </c>
      <c r="J23" s="42" t="n">
        <v>7</v>
      </c>
      <c r="K23" s="42" t="n">
        <v>7</v>
      </c>
      <c r="L23" s="42" t="n">
        <v>7</v>
      </c>
      <c r="M23" s="42" t="n">
        <v>6</v>
      </c>
      <c r="N23" s="42" t="n">
        <v>7</v>
      </c>
      <c r="O23" s="42" t="n">
        <v>7</v>
      </c>
      <c r="P23" s="42" t="n">
        <v>7</v>
      </c>
      <c r="Q23" s="42" t="n">
        <v>7</v>
      </c>
      <c r="R23" s="42" t="n">
        <v>7</v>
      </c>
      <c r="S23" s="42" t="n">
        <v>7</v>
      </c>
      <c r="T23" s="42" t="n">
        <v>7</v>
      </c>
      <c r="U23" s="42" t="n">
        <v>7</v>
      </c>
      <c r="V23" s="42" t="n">
        <v>7</v>
      </c>
      <c r="W23" s="42" t="n">
        <v>7</v>
      </c>
      <c r="X23" s="42" t="n">
        <v>7</v>
      </c>
      <c r="Y23" s="42" t="n">
        <v>7</v>
      </c>
      <c r="Z23" s="42" t="n">
        <v>7</v>
      </c>
      <c r="AA23" s="42" t="n">
        <v>7</v>
      </c>
      <c r="AB23" s="42" t="n">
        <v>3</v>
      </c>
    </row>
    <row r="24">
      <c r="A24" s="37" t="inlineStr">
        <is>
          <t>В среднем на ПВЗ</t>
        </is>
      </c>
      <c r="B24" s="38" t="inlineStr"/>
      <c r="C24" s="43">
        <f>AVERAGE(C6:C23)</f>
        <v/>
      </c>
      <c r="D24" s="43">
        <f>AVERAGE(D6:D23)</f>
        <v/>
      </c>
      <c r="E24" s="43">
        <f>AVERAGE(E6:E23)</f>
        <v/>
      </c>
      <c r="F24" s="43">
        <f>AVERAGE(F6:F23)</f>
        <v/>
      </c>
      <c r="G24" s="43">
        <f>AVERAGE(G6:G23)</f>
        <v/>
      </c>
      <c r="H24" s="43">
        <f>AVERAGE(H6:H23)</f>
        <v/>
      </c>
      <c r="I24" s="43">
        <f>AVERAGE(I6:I23)</f>
        <v/>
      </c>
      <c r="J24" s="43">
        <f>AVERAGE(J6:J23)</f>
        <v/>
      </c>
      <c r="K24" s="43">
        <f>AVERAGE(K6:K23)</f>
        <v/>
      </c>
      <c r="L24" s="43">
        <f>AVERAGE(L6:L23)</f>
        <v/>
      </c>
      <c r="M24" s="43">
        <f>AVERAGE(M6:M23)</f>
        <v/>
      </c>
      <c r="N24" s="43">
        <f>AVERAGE(N6:N23)</f>
        <v/>
      </c>
      <c r="O24" s="43">
        <f>AVERAGE(O6:O23)</f>
        <v/>
      </c>
      <c r="P24" s="43">
        <f>AVERAGE(P6:P23)</f>
        <v/>
      </c>
      <c r="Q24" s="43">
        <f>AVERAGE(Q6:Q23)</f>
        <v/>
      </c>
      <c r="R24" s="43">
        <f>AVERAGE(R6:R23)</f>
        <v/>
      </c>
      <c r="S24" s="43">
        <f>AVERAGE(S6:S23)</f>
        <v/>
      </c>
      <c r="T24" s="43">
        <f>AVERAGE(T6:T23)</f>
        <v/>
      </c>
      <c r="U24" s="43">
        <f>AVERAGE(U6:U23)</f>
        <v/>
      </c>
      <c r="V24" s="43">
        <f>AVERAGE(V6:V23)</f>
        <v/>
      </c>
      <c r="W24" s="43">
        <f>AVERAGE(W6:W23)</f>
        <v/>
      </c>
      <c r="X24" s="43">
        <f>AVERAGE(X6:X23)</f>
        <v/>
      </c>
      <c r="Y24" s="43">
        <f>AVERAGE(Y6:Y23)</f>
        <v/>
      </c>
      <c r="Z24" s="43">
        <f>AVERAGE(Z6:Z23)</f>
        <v/>
      </c>
      <c r="AA24" s="43">
        <f>AVERAGE(AA6:AA23)</f>
        <v/>
      </c>
      <c r="AB24" s="43">
        <f>AVERAGE(AB6:AB23)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2026-06-06T09:43:41Z</dcterms:created>
  <dcterms:modified xmlns:dcterms="http://purl.org/dc/terms/" xmlns:xsi="http://www.w3.org/2001/XMLSchema-instance" xsi:type="dcterms:W3CDTF">2026-10-22T15:31:23Z</dcterms:modified>
  <cp:revision>0</cp:revision>
</cp:coreProperties>
</file>