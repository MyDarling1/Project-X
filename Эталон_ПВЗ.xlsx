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Справочник" sheetId="1" state="visible" r:id="rId1"/>
    <sheet name="Заказы_по_неделям" sheetId="2" state="visible" r:id="rId2"/>
    <sheet name="Объём_по_неделям" sheetId="3" state="visible" r:id="rId3"/>
    <sheet name="Сатори_факт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b val="1"/>
      <color rgb="001F3864"/>
      <sz val="12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5496"/>
        <bgColor rgb="FF1F3864"/>
      </patternFill>
    </fill>
    <fill>
      <patternFill patternType="solid">
        <fgColor rgb="001F3864"/>
      </patternFill>
    </fill>
    <fill>
      <patternFill patternType="solid">
        <fgColor rgb="002F549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2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" fontId="5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164" fontId="6" fillId="3" borderId="1" applyAlignment="1" pivotButton="0" quotePrefix="0" xfId="0">
      <alignment horizontal="center" vertical="bottom"/>
    </xf>
    <xf numFmtId="3" fontId="9" fillId="0" borderId="1" applyAlignment="1" pivotButton="0" quotePrefix="0" xfId="0">
      <alignment horizontal="center" vertical="bottom"/>
    </xf>
    <xf numFmtId="3" fontId="6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10" fillId="0" borderId="0" pivotButton="0" quotePrefix="0" xfId="0"/>
    <xf numFmtId="0" fontId="11" fillId="0" borderId="0" pivotButton="0" quotePrefix="0" xfId="0"/>
    <xf numFmtId="0" fontId="12" fillId="4" borderId="2" applyAlignment="1" pivotButton="0" quotePrefix="0" xfId="0">
      <alignment horizontal="center" vertical="center" wrapText="1"/>
    </xf>
    <xf numFmtId="0" fontId="11" fillId="0" borderId="2" pivotButton="0" quotePrefix="0" xfId="0"/>
    <xf numFmtId="0" fontId="0" fillId="0" borderId="2" pivotButton="0" quotePrefix="0" xfId="0"/>
    <xf numFmtId="1" fontId="11" fillId="0" borderId="2" applyAlignment="1" pivotButton="0" quotePrefix="0" xfId="0">
      <alignment horizontal="center"/>
    </xf>
    <xf numFmtId="0" fontId="13" fillId="0" borderId="2" pivotButton="0" quotePrefix="0" xfId="0"/>
    <xf numFmtId="164" fontId="13" fillId="0" borderId="2" applyAlignment="1" pivotButton="0" quotePrefix="0" xfId="0">
      <alignment horizontal="center"/>
    </xf>
    <xf numFmtId="0" fontId="12" fillId="5" borderId="2" pivotButton="0" quotePrefix="0" xfId="0"/>
    <xf numFmtId="0" fontId="0" fillId="5" borderId="2" pivotButton="0" quotePrefix="0" xfId="0"/>
    <xf numFmtId="164" fontId="12" fillId="5" borderId="2" applyAlignment="1" pivotButton="0" quotePrefix="0" xfId="0">
      <alignment horizontal="center"/>
    </xf>
    <xf numFmtId="3" fontId="13" fillId="0" borderId="2" applyAlignment="1" pivotButton="0" quotePrefix="0" xfId="0">
      <alignment horizontal="center"/>
    </xf>
    <xf numFmtId="3" fontId="12" fillId="5" borderId="2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9" min="1" max="1"/>
    <col width="18" customWidth="1" style="19" min="2" max="2"/>
    <col width="11" customWidth="1" style="19" min="3" max="3"/>
    <col width="8" customWidth="1" style="19" min="4" max="4"/>
    <col width="9" customWidth="1" style="19" min="5" max="5"/>
    <col width="14" customWidth="1" style="19" min="6" max="6"/>
    <col width="13" customWidth="1" style="19" min="7" max="7"/>
    <col width="15" customWidth="1" style="19" min="8" max="8"/>
    <col width="13" customWidth="1" style="19" min="9" max="9"/>
    <col width="15" customWidth="1" style="19" min="10" max="10"/>
    <col width="13" customWidth="1" style="19" min="11" max="11"/>
    <col width="12" customWidth="1" style="19" min="12" max="12"/>
    <col width="11" customWidth="1" style="19" min="13" max="13"/>
  </cols>
  <sheetData>
    <row r="1" ht="15" customHeight="1" s="20">
      <c r="A1" s="21" t="inlineStr">
        <is>
          <t>Эталон ПВЗ Uzum — справочник (источник правды для не-дневных параметров)</t>
        </is>
      </c>
    </row>
    <row r="2" ht="15" customHeight="1" s="20">
      <c r="A2" s="22" t="inlineStr">
        <is>
          <t>Синие — редактируемые входы. OPEX = Аренда + ЗП (месячные, сум). Заказы/выручка — на листах ниже, накапливаются из узум.xlsx.</t>
        </is>
      </c>
    </row>
    <row r="4" ht="23.85" customHeight="1" s="20">
      <c r="A4" s="23" t="inlineStr">
        <is>
          <t>Код</t>
        </is>
      </c>
      <c r="B4" s="23" t="inlineStr">
        <is>
          <t>AKA</t>
        </is>
      </c>
      <c r="C4" s="23" t="inlineStr">
        <is>
          <t>Город</t>
        </is>
      </c>
      <c r="D4" s="23" t="inlineStr">
        <is>
          <t>Сегмент</t>
        </is>
      </c>
      <c r="E4" s="23" t="inlineStr">
        <is>
          <t>Комиссия</t>
        </is>
      </c>
      <c r="F4" s="23" t="inlineStr">
        <is>
          <t>Аренда, сум/мес</t>
        </is>
      </c>
      <c r="G4" s="23" t="inlineStr">
        <is>
          <t>ЗП, сум/мес</t>
        </is>
      </c>
      <c r="H4" s="23" t="inlineStr">
        <is>
          <t>Затраты на УК, $/мес</t>
        </is>
      </c>
      <c r="I4" s="23" t="inlineStr">
        <is>
          <t>Разное, сум/мес</t>
        </is>
      </c>
      <c r="J4" s="23" t="inlineStr">
        <is>
          <t>Гарантия, сум/мес</t>
        </is>
      </c>
      <c r="K4" s="23" t="inlineStr">
        <is>
          <t>Прогноз 1-го мес, зак/день</t>
        </is>
      </c>
      <c r="L4" s="23" t="inlineStr">
        <is>
          <t>Яндекс-пик, зак/день</t>
        </is>
      </c>
      <c r="M4" s="23" t="inlineStr">
        <is>
          <t>Старт</t>
        </is>
      </c>
    </row>
    <row r="5" ht="15" customHeight="1" s="20">
      <c r="A5" s="24" t="inlineStr">
        <is>
          <t>FRТАШ-290</t>
        </is>
      </c>
      <c r="B5" s="24" t="inlineStr">
        <is>
          <t>Буз-1</t>
        </is>
      </c>
      <c r="C5" s="24" t="inlineStr">
        <is>
          <t>Ташкент</t>
        </is>
      </c>
      <c r="D5" s="25" t="n">
        <v>1</v>
      </c>
      <c r="E5" s="26" t="n">
        <v>0.06</v>
      </c>
      <c r="F5" s="27" t="n">
        <v>6500000</v>
      </c>
      <c r="G5" s="27" t="n">
        <v>9920000</v>
      </c>
      <c r="H5" s="27" t="n">
        <v>320</v>
      </c>
      <c r="I5" s="27" t="n">
        <v>0</v>
      </c>
      <c r="J5" s="27" t="n">
        <v>17400000</v>
      </c>
      <c r="K5" s="25" t="n">
        <v>61</v>
      </c>
      <c r="L5" s="25" t="n">
        <v>32</v>
      </c>
      <c r="M5" s="28" t="inlineStr">
        <is>
          <t>2026-05-06</t>
        </is>
      </c>
    </row>
    <row r="6" ht="15" customHeight="1" s="20">
      <c r="A6" s="24" t="inlineStr">
        <is>
          <t>FRТАШ-291</t>
        </is>
      </c>
      <c r="B6" s="24" t="inlineStr">
        <is>
          <t>Бабур</t>
        </is>
      </c>
      <c r="C6" s="24" t="inlineStr">
        <is>
          <t>Ташкент</t>
        </is>
      </c>
      <c r="D6" s="25" t="n">
        <v>1</v>
      </c>
      <c r="E6" s="26" t="n">
        <v>0.06</v>
      </c>
      <c r="F6" s="27" t="n">
        <v>9000000</v>
      </c>
      <c r="G6" s="27" t="n">
        <v>9920000</v>
      </c>
      <c r="H6" s="27" t="n">
        <v>320</v>
      </c>
      <c r="I6" s="27" t="n">
        <v>0</v>
      </c>
      <c r="J6" s="27" t="n">
        <v>17400000</v>
      </c>
      <c r="K6" s="25" t="n">
        <v>39</v>
      </c>
      <c r="L6" s="25" t="n">
        <v>43</v>
      </c>
      <c r="M6" s="28" t="inlineStr">
        <is>
          <t>2026-05-06</t>
        </is>
      </c>
    </row>
    <row r="7" ht="15" customHeight="1" s="20">
      <c r="A7" s="24" t="inlineStr">
        <is>
          <t>FRТАШ-294</t>
        </is>
      </c>
      <c r="B7" s="24" t="inlineStr">
        <is>
          <t>Шастри</t>
        </is>
      </c>
      <c r="C7" s="24" t="inlineStr">
        <is>
          <t>Ташкент</t>
        </is>
      </c>
      <c r="D7" s="25" t="n">
        <v>1</v>
      </c>
      <c r="E7" s="26" t="n">
        <v>0.06</v>
      </c>
      <c r="F7" s="27" t="n">
        <v>11909091</v>
      </c>
      <c r="G7" s="27" t="n">
        <v>9920000</v>
      </c>
      <c r="H7" s="27" t="n">
        <v>320</v>
      </c>
      <c r="I7" s="27" t="n">
        <v>0</v>
      </c>
      <c r="J7" s="27" t="n">
        <v>17400000</v>
      </c>
      <c r="K7" s="25" t="n">
        <v>38</v>
      </c>
      <c r="L7" s="25" t="n">
        <v>36</v>
      </c>
      <c r="M7" s="28" t="inlineStr">
        <is>
          <t>2026-05-01</t>
        </is>
      </c>
    </row>
    <row r="8" ht="15" customHeight="1" s="20">
      <c r="A8" s="24" t="inlineStr">
        <is>
          <t>FRТАШ-292</t>
        </is>
      </c>
      <c r="B8" s="24" t="inlineStr">
        <is>
          <t>Спутник</t>
        </is>
      </c>
      <c r="C8" s="24" t="inlineStr">
        <is>
          <t>Ташкент</t>
        </is>
      </c>
      <c r="D8" s="25" t="n">
        <v>1</v>
      </c>
      <c r="E8" s="26" t="n">
        <v>0.06</v>
      </c>
      <c r="F8" s="27" t="n">
        <v>3647160</v>
      </c>
      <c r="G8" s="27" t="n">
        <v>9920000</v>
      </c>
      <c r="H8" s="27" t="n">
        <v>320</v>
      </c>
      <c r="I8" s="27" t="n">
        <v>0</v>
      </c>
      <c r="J8" s="27" t="n">
        <v>17400000</v>
      </c>
      <c r="K8" s="25" t="n">
        <v>38</v>
      </c>
      <c r="L8" s="25" t="n">
        <v>30</v>
      </c>
      <c r="M8" s="28" t="inlineStr">
        <is>
          <t>2026-05-06</t>
        </is>
      </c>
    </row>
    <row r="9" ht="15" customHeight="1" s="20">
      <c r="A9" s="24" t="inlineStr">
        <is>
          <t>FRАЛМ-9</t>
        </is>
      </c>
      <c r="B9" s="24" t="inlineStr">
        <is>
          <t>Алмалык Амир Т</t>
        </is>
      </c>
      <c r="C9" s="24" t="inlineStr">
        <is>
          <t>Алмалык</t>
        </is>
      </c>
      <c r="D9" s="25" t="n">
        <v>2</v>
      </c>
      <c r="E9" s="26" t="n">
        <v>0.05</v>
      </c>
      <c r="F9" s="27" t="n">
        <v>4431000</v>
      </c>
      <c r="G9" s="27" t="n">
        <v>8680000</v>
      </c>
      <c r="H9" s="27" t="n">
        <v>320</v>
      </c>
      <c r="I9" s="27" t="n">
        <v>0</v>
      </c>
      <c r="J9" s="27" t="n">
        <v>14000000</v>
      </c>
      <c r="K9" s="25" t="n">
        <v>38</v>
      </c>
      <c r="L9" s="25" t="n">
        <v>40</v>
      </c>
      <c r="M9" s="28" t="inlineStr">
        <is>
          <t>2026-05-07</t>
        </is>
      </c>
    </row>
    <row r="10" ht="15" customHeight="1" s="20">
      <c r="A10" s="24" t="inlineStr">
        <is>
          <t>FRТАШ-289</t>
        </is>
      </c>
      <c r="B10" s="24" t="inlineStr">
        <is>
          <t>Афросиаб</t>
        </is>
      </c>
      <c r="C10" s="24" t="inlineStr">
        <is>
          <t>Ташкент</t>
        </is>
      </c>
      <c r="D10" s="25" t="n">
        <v>1</v>
      </c>
      <c r="E10" s="26" t="n">
        <v>0.06</v>
      </c>
      <c r="F10" s="27" t="n">
        <v>10420455</v>
      </c>
      <c r="G10" s="27" t="n">
        <v>9920000</v>
      </c>
      <c r="H10" s="27" t="n">
        <v>320</v>
      </c>
      <c r="I10" s="27" t="n">
        <v>0</v>
      </c>
      <c r="J10" s="27" t="n">
        <v>17400000</v>
      </c>
      <c r="K10" s="25" t="n">
        <v>58</v>
      </c>
      <c r="L10" s="25" t="n">
        <v>48</v>
      </c>
      <c r="M10" s="28" t="inlineStr">
        <is>
          <t>2026-05-14</t>
        </is>
      </c>
    </row>
    <row r="11" ht="15" customHeight="1" s="20">
      <c r="A11" s="24" t="inlineStr">
        <is>
          <t>FRТАШ-293</t>
        </is>
      </c>
      <c r="B11" s="24" t="inlineStr">
        <is>
          <t>Кургантепа</t>
        </is>
      </c>
      <c r="C11" s="24" t="inlineStr">
        <is>
          <t>Ташкент</t>
        </is>
      </c>
      <c r="D11" s="25" t="n">
        <v>1</v>
      </c>
      <c r="E11" s="26" t="n">
        <v>0.06</v>
      </c>
      <c r="F11" s="27" t="n">
        <v>7112000</v>
      </c>
      <c r="G11" s="27" t="n">
        <v>9920000</v>
      </c>
      <c r="H11" s="27" t="n">
        <v>320</v>
      </c>
      <c r="I11" s="27" t="n">
        <v>0</v>
      </c>
      <c r="J11" s="27" t="n">
        <v>17400000</v>
      </c>
      <c r="K11" s="25" t="n">
        <v>61</v>
      </c>
      <c r="L11" s="25" t="n">
        <v>48</v>
      </c>
      <c r="M11" s="28" t="inlineStr">
        <is>
          <t>2026-05-12</t>
        </is>
      </c>
    </row>
    <row r="12" ht="15" customHeight="1" s="20">
      <c r="A12" s="24" t="inlineStr">
        <is>
          <t>FRТАШ-319</t>
        </is>
      </c>
      <c r="B12" s="24" t="inlineStr">
        <is>
          <t>Баку</t>
        </is>
      </c>
      <c r="C12" s="24" t="inlineStr">
        <is>
          <t>Ташкент</t>
        </is>
      </c>
      <c r="D12" s="25" t="n">
        <v>1</v>
      </c>
      <c r="E12" s="26" t="n">
        <v>0.06</v>
      </c>
      <c r="F12" s="27" t="n">
        <v>5800000</v>
      </c>
      <c r="G12" s="27" t="n">
        <v>9920000</v>
      </c>
      <c r="H12" s="27" t="n">
        <v>320</v>
      </c>
      <c r="I12" s="27" t="n">
        <v>0</v>
      </c>
      <c r="J12" s="27" t="n">
        <v>17400000</v>
      </c>
      <c r="K12" s="25" t="n">
        <v>35</v>
      </c>
      <c r="L12" s="25" t="n">
        <v>34</v>
      </c>
      <c r="M12" s="28" t="inlineStr">
        <is>
          <t>2026-05-06</t>
        </is>
      </c>
    </row>
    <row r="13" ht="15" customHeight="1" s="20">
      <c r="A13" s="24" t="inlineStr">
        <is>
          <t>FRБХР-30</t>
        </is>
      </c>
      <c r="B13" s="24" t="inlineStr">
        <is>
          <t>Бухара</t>
        </is>
      </c>
      <c r="C13" s="24" t="inlineStr">
        <is>
          <t>Бухара</t>
        </is>
      </c>
      <c r="D13" s="25" t="n">
        <v>2</v>
      </c>
      <c r="E13" s="26" t="n">
        <v>0.05</v>
      </c>
      <c r="F13" s="27" t="n">
        <v>5818182</v>
      </c>
      <c r="G13" s="27" t="n">
        <v>8680000</v>
      </c>
      <c r="H13" s="27" t="n">
        <v>320</v>
      </c>
      <c r="I13" s="27" t="n">
        <v>0</v>
      </c>
      <c r="J13" s="27" t="n">
        <v>14000000</v>
      </c>
      <c r="K13" s="25" t="n">
        <v>31</v>
      </c>
      <c r="L13" s="25" t="n">
        <v>25</v>
      </c>
      <c r="M13" s="28" t="inlineStr">
        <is>
          <t>2026-05-01</t>
        </is>
      </c>
    </row>
    <row r="14" ht="15" customHeight="1" s="20">
      <c r="A14" s="24" t="inlineStr">
        <is>
          <t>FRГАЗ-4</t>
        </is>
      </c>
      <c r="B14" s="24" t="inlineStr">
        <is>
          <t>Газалкент</t>
        </is>
      </c>
      <c r="C14" s="24" t="inlineStr">
        <is>
          <t>Газалкент</t>
        </is>
      </c>
      <c r="D14" s="25" t="n">
        <v>2</v>
      </c>
      <c r="E14" s="26" t="n">
        <v>0.05</v>
      </c>
      <c r="F14" s="27" t="n">
        <v>2954545</v>
      </c>
      <c r="G14" s="27" t="n">
        <v>7440000</v>
      </c>
      <c r="H14" s="27" t="n">
        <v>320</v>
      </c>
      <c r="I14" s="27" t="n">
        <v>0</v>
      </c>
      <c r="J14" s="27" t="n">
        <v>14000000</v>
      </c>
      <c r="K14" s="25" t="n">
        <v>60</v>
      </c>
      <c r="L14" s="25" t="n">
        <v>31</v>
      </c>
      <c r="M14" s="28" t="inlineStr">
        <is>
          <t>2026-05-01</t>
        </is>
      </c>
    </row>
    <row r="15" ht="15" customHeight="1" s="20">
      <c r="A15" s="24" t="inlineStr">
        <is>
          <t>FRТАШ-308</t>
        </is>
      </c>
      <c r="B15" s="24" t="inlineStr">
        <is>
          <t>Янгиюнусабад</t>
        </is>
      </c>
      <c r="C15" s="24" t="inlineStr">
        <is>
          <t>Ташкент</t>
        </is>
      </c>
      <c r="D15" s="25" t="n">
        <v>1</v>
      </c>
      <c r="E15" s="26" t="n">
        <v>0.06</v>
      </c>
      <c r="F15" s="27" t="n">
        <v>7386364</v>
      </c>
      <c r="G15" s="27" t="n">
        <v>9920000</v>
      </c>
      <c r="H15" s="27" t="n">
        <v>320</v>
      </c>
      <c r="I15" s="27" t="n">
        <v>0</v>
      </c>
      <c r="J15" s="27" t="n">
        <v>17400000</v>
      </c>
      <c r="K15" s="25" t="n">
        <v>61</v>
      </c>
      <c r="L15" s="25" t="n">
        <v>65</v>
      </c>
      <c r="M15" s="28" t="inlineStr">
        <is>
          <t>2026-05-01</t>
        </is>
      </c>
    </row>
    <row r="16" ht="15" customHeight="1" s="20">
      <c r="A16" s="24" t="inlineStr">
        <is>
          <t>FRБУК-2</t>
        </is>
      </c>
      <c r="B16" s="24" t="inlineStr">
        <is>
          <t>Бука</t>
        </is>
      </c>
      <c r="C16" s="24" t="inlineStr">
        <is>
          <t>Бука</t>
        </is>
      </c>
      <c r="D16" s="25" t="n">
        <v>2</v>
      </c>
      <c r="E16" s="26" t="n">
        <v>0.05</v>
      </c>
      <c r="F16" s="27" t="n">
        <v>2954545</v>
      </c>
      <c r="G16" s="27" t="n">
        <v>7440000</v>
      </c>
      <c r="H16" s="27" t="n">
        <v>320</v>
      </c>
      <c r="I16" s="27" t="n">
        <v>0</v>
      </c>
      <c r="J16" s="27" t="n">
        <v>14000000</v>
      </c>
      <c r="K16" s="25" t="n">
        <v>33</v>
      </c>
      <c r="L16" s="25" t="n">
        <v>43</v>
      </c>
      <c r="M16" s="28" t="inlineStr">
        <is>
          <t>2026-05-05</t>
        </is>
      </c>
    </row>
    <row r="17" ht="15" customHeight="1" s="20">
      <c r="A17" s="24" t="inlineStr">
        <is>
          <t>FRСМК-52</t>
        </is>
      </c>
      <c r="B17" s="24" t="inlineStr">
        <is>
          <t>Рудаки</t>
        </is>
      </c>
      <c r="C17" s="24" t="inlineStr">
        <is>
          <t>Самарканд</t>
        </is>
      </c>
      <c r="D17" s="25" t="n">
        <v>2</v>
      </c>
      <c r="E17" s="26" t="n">
        <v>0.05</v>
      </c>
      <c r="F17" s="27" t="n">
        <v>7329545</v>
      </c>
      <c r="G17" s="27" t="n">
        <v>8680000</v>
      </c>
      <c r="H17" s="27" t="n">
        <v>320</v>
      </c>
      <c r="I17" s="27" t="n">
        <v>0</v>
      </c>
      <c r="J17" s="27" t="n">
        <v>14000000</v>
      </c>
      <c r="K17" s="25" t="n">
        <v>36</v>
      </c>
      <c r="L17" s="25" t="n">
        <v>41</v>
      </c>
      <c r="M17" s="28" t="inlineStr">
        <is>
          <t>2026-05-04</t>
        </is>
      </c>
    </row>
    <row r="18" ht="15" customHeight="1" s="20">
      <c r="A18" s="24" t="inlineStr">
        <is>
          <t>FRАЛМ-10</t>
        </is>
      </c>
      <c r="B18" s="24" t="inlineStr">
        <is>
          <t>Алмалык Мустакилик</t>
        </is>
      </c>
      <c r="C18" s="24" t="inlineStr">
        <is>
          <t>Алмалык</t>
        </is>
      </c>
      <c r="D18" s="25" t="n">
        <v>2</v>
      </c>
      <c r="E18" s="26" t="n">
        <v>0.05</v>
      </c>
      <c r="F18" s="27" t="n">
        <v>3409091</v>
      </c>
      <c r="G18" s="27" t="n">
        <v>8680000</v>
      </c>
      <c r="H18" s="27" t="n">
        <v>320</v>
      </c>
      <c r="I18" s="27" t="n">
        <v>0</v>
      </c>
      <c r="J18" s="27" t="n">
        <v>14000000</v>
      </c>
      <c r="K18" s="25" t="n">
        <v>36</v>
      </c>
      <c r="L18" s="25" t="n">
        <v>23</v>
      </c>
      <c r="M18" s="28" t="inlineStr">
        <is>
          <t>2026-05-06</t>
        </is>
      </c>
    </row>
    <row r="19" ht="15" customHeight="1" s="20">
      <c r="A19" s="24" t="inlineStr">
        <is>
          <t>FRПСК-2</t>
        </is>
      </c>
      <c r="B19" s="24" t="inlineStr">
        <is>
          <t>Пскент</t>
        </is>
      </c>
      <c r="C19" s="24" t="inlineStr">
        <is>
          <t>Пскент</t>
        </is>
      </c>
      <c r="D19" s="25" t="n">
        <v>2</v>
      </c>
      <c r="E19" s="26" t="n">
        <v>0.05</v>
      </c>
      <c r="F19" s="27" t="n">
        <v>4435000</v>
      </c>
      <c r="G19" s="27" t="n">
        <v>7440000</v>
      </c>
      <c r="H19" s="27" t="n">
        <v>320</v>
      </c>
      <c r="I19" s="27" t="n">
        <v>0</v>
      </c>
      <c r="J19" s="27" t="n">
        <v>14000000</v>
      </c>
      <c r="K19" s="25" t="n">
        <v>37</v>
      </c>
      <c r="L19" s="25" t="n">
        <v>40</v>
      </c>
      <c r="M19" s="28" t="inlineStr">
        <is>
          <t>2026-05-20</t>
        </is>
      </c>
    </row>
    <row r="20" ht="15" customHeight="1" s="20">
      <c r="A20" s="24" t="inlineStr">
        <is>
          <t>FRТАШ-307</t>
        </is>
      </c>
      <c r="B20" s="24" t="inlineStr">
        <is>
          <t>Крестик</t>
        </is>
      </c>
      <c r="C20" s="24" t="inlineStr">
        <is>
          <t>Ташкент</t>
        </is>
      </c>
      <c r="D20" s="25" t="n">
        <v>1</v>
      </c>
      <c r="E20" s="26" t="n">
        <v>0.06</v>
      </c>
      <c r="F20" s="27" t="n">
        <v>7216000</v>
      </c>
      <c r="G20" s="27" t="n">
        <v>9920000</v>
      </c>
      <c r="H20" s="27" t="n">
        <v>320</v>
      </c>
      <c r="I20" s="27" t="n">
        <v>0</v>
      </c>
      <c r="J20" s="27" t="n">
        <v>17400000</v>
      </c>
      <c r="K20" s="25" t="n">
        <v>60</v>
      </c>
      <c r="L20" s="25" t="n">
        <v>68</v>
      </c>
      <c r="M20" s="28" t="inlineStr">
        <is>
          <t>2026-05-01</t>
        </is>
      </c>
    </row>
    <row r="21" ht="15" customHeight="1" s="20">
      <c r="A21" s="24" t="inlineStr">
        <is>
          <t>FRМРГ-8</t>
        </is>
      </c>
      <c r="B21" s="24" t="inlineStr">
        <is>
          <t>Маргилан</t>
        </is>
      </c>
      <c r="C21" s="24" t="inlineStr">
        <is>
          <t>Маргилан</t>
        </is>
      </c>
      <c r="D21" s="25" t="n">
        <v>3</v>
      </c>
      <c r="E21" s="26" t="n">
        <v>0.05</v>
      </c>
      <c r="F21" s="27" t="n">
        <v>2912000</v>
      </c>
      <c r="G21" s="27" t="n">
        <v>8680000</v>
      </c>
      <c r="H21" s="27" t="n">
        <v>320</v>
      </c>
      <c r="I21" s="27" t="n">
        <v>0</v>
      </c>
      <c r="J21" s="27" t="n">
        <v>11400000</v>
      </c>
      <c r="K21" s="25" t="n">
        <v>19</v>
      </c>
      <c r="L21" s="25" t="n">
        <v>26</v>
      </c>
      <c r="M21" s="28" t="inlineStr">
        <is>
          <t>2026-05-18</t>
        </is>
      </c>
    </row>
    <row r="22" ht="15" customHeight="1" s="20">
      <c r="A22" s="24" t="inlineStr">
        <is>
          <t>FRСМК-53</t>
        </is>
      </c>
      <c r="B22" s="24" t="inlineStr">
        <is>
          <t>Андижанская</t>
        </is>
      </c>
      <c r="C22" s="24" t="inlineStr">
        <is>
          <t>Самарканд</t>
        </is>
      </c>
      <c r="D22" s="25" t="n">
        <v>2</v>
      </c>
      <c r="E22" s="26" t="n">
        <v>0.05</v>
      </c>
      <c r="F22" s="27" t="n">
        <v>5864000</v>
      </c>
      <c r="G22" s="27" t="n">
        <v>8680000</v>
      </c>
      <c r="H22" s="27" t="n">
        <v>320</v>
      </c>
      <c r="I22" s="27" t="n">
        <v>0</v>
      </c>
      <c r="J22" s="27" t="n">
        <v>14000000</v>
      </c>
      <c r="K22" s="25" t="n">
        <v>24</v>
      </c>
      <c r="L22" s="25" t="n">
        <v>29</v>
      </c>
      <c r="M22" s="28" t="inlineStr">
        <is>
          <t>2026-05-21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9" min="1" max="1"/>
    <col width="20" customWidth="1" style="19" min="2" max="2"/>
    <col width="13" customWidth="1" style="19" min="3" max="6"/>
    <col width="13" customWidth="1" style="20" min="4" max="4"/>
    <col width="13" customWidth="1" style="20" min="5" max="5"/>
    <col width="13" customWidth="1" style="20" min="6" max="6"/>
  </cols>
  <sheetData>
    <row r="1" ht="15" customHeight="1" s="20">
      <c r="A1" s="29" t="inlineStr">
        <is>
          <t>Средние заказы в день по неделям (накопительно)</t>
        </is>
      </c>
    </row>
    <row r="2" ht="15" customHeight="1" s="20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ht="15" customHeight="1" s="20">
      <c r="C3" s="19" t="inlineStr">
        <is>
          <t>2026-05-11</t>
        </is>
      </c>
      <c r="D3" s="19" t="inlineStr">
        <is>
          <t>2026-05-18</t>
        </is>
      </c>
      <c r="E3" s="19" t="inlineStr">
        <is>
          <t>2026-05-25</t>
        </is>
      </c>
      <c r="F3" s="19" t="inlineStr">
        <is>
          <t>2026-06-01</t>
        </is>
      </c>
    </row>
    <row r="4" ht="15" customHeight="1" s="20">
      <c r="A4" s="31" t="inlineStr">
        <is>
          <t>Код</t>
        </is>
      </c>
      <c r="B4" s="31" t="inlineStr">
        <is>
          <t>AKA</t>
        </is>
      </c>
      <c r="C4" s="31" t="inlineStr">
        <is>
          <t>11.05–17.05*</t>
        </is>
      </c>
      <c r="D4" s="31" t="inlineStr">
        <is>
          <t>18.05–24.05</t>
        </is>
      </c>
      <c r="E4" s="31" t="inlineStr">
        <is>
          <t>25.05–31.05</t>
        </is>
      </c>
      <c r="F4" s="31" t="inlineStr">
        <is>
          <t>01.06–07.06*</t>
        </is>
      </c>
    </row>
    <row r="5" ht="15" customHeight="1" s="20">
      <c r="A5" s="32" t="inlineStr">
        <is>
          <t>Дней с данными</t>
        </is>
      </c>
      <c r="B5" s="33" t="inlineStr"/>
      <c r="C5" s="34" t="n">
        <v>5</v>
      </c>
      <c r="D5" s="34" t="n">
        <v>7</v>
      </c>
      <c r="E5" s="34" t="n">
        <v>7</v>
      </c>
      <c r="F5" s="34" t="n">
        <v>2</v>
      </c>
    </row>
    <row r="6" ht="15" customHeight="1" s="20">
      <c r="A6" s="35" t="inlineStr">
        <is>
          <t>FRТАШ-290</t>
        </is>
      </c>
      <c r="B6" s="35" t="inlineStr">
        <is>
          <t>Буз-1</t>
        </is>
      </c>
      <c r="C6" s="36" t="n">
        <v>30</v>
      </c>
      <c r="D6" s="36" t="n">
        <v>37.86</v>
      </c>
      <c r="E6" s="36" t="n">
        <v>39.57</v>
      </c>
      <c r="F6" s="36" t="n">
        <v>54.5</v>
      </c>
    </row>
    <row r="7" ht="15" customHeight="1" s="20">
      <c r="A7" s="35" t="inlineStr">
        <is>
          <t>FRТАШ-291</t>
        </is>
      </c>
      <c r="B7" s="35" t="inlineStr">
        <is>
          <t>Бабур</t>
        </is>
      </c>
      <c r="C7" s="36" t="n">
        <v>33.4</v>
      </c>
      <c r="D7" s="36" t="n">
        <v>41.14</v>
      </c>
      <c r="E7" s="36" t="n">
        <v>36.43</v>
      </c>
      <c r="F7" s="36" t="n">
        <v>34</v>
      </c>
    </row>
    <row r="8" ht="15" customHeight="1" s="20">
      <c r="A8" s="35" t="inlineStr">
        <is>
          <t>FRТАШ-292</t>
        </is>
      </c>
      <c r="B8" s="35" t="inlineStr">
        <is>
          <t>Спутник</t>
        </is>
      </c>
      <c r="C8" s="36" t="n">
        <v>18.6</v>
      </c>
      <c r="D8" s="36" t="n">
        <v>21.57</v>
      </c>
      <c r="E8" s="36" t="n">
        <v>26.14</v>
      </c>
      <c r="F8" s="36" t="n">
        <v>32.5</v>
      </c>
    </row>
    <row r="9" ht="15" customHeight="1" s="20">
      <c r="A9" s="35" t="inlineStr">
        <is>
          <t>FRТАШ-294</t>
        </is>
      </c>
      <c r="B9" s="35" t="inlineStr">
        <is>
          <t>Шастри</t>
        </is>
      </c>
      <c r="C9" s="36" t="n">
        <v>18.8</v>
      </c>
      <c r="D9" s="36" t="n">
        <v>26.57</v>
      </c>
      <c r="E9" s="36" t="n">
        <v>28.29</v>
      </c>
      <c r="F9" s="36" t="n">
        <v>25</v>
      </c>
    </row>
    <row r="10" ht="15" customHeight="1" s="20">
      <c r="A10" s="35" t="inlineStr">
        <is>
          <t>FRТАШ-289</t>
        </is>
      </c>
      <c r="B10" s="35" t="inlineStr">
        <is>
          <t>Афросиаб</t>
        </is>
      </c>
      <c r="C10" s="36" t="n">
        <v>4.4</v>
      </c>
      <c r="D10" s="36" t="n">
        <v>17.86</v>
      </c>
      <c r="E10" s="36" t="n">
        <v>20.86</v>
      </c>
      <c r="F10" s="36" t="n">
        <v>20.5</v>
      </c>
    </row>
    <row r="11" ht="15" customHeight="1" s="20">
      <c r="A11" s="35" t="inlineStr">
        <is>
          <t>FRТАШ-293</t>
        </is>
      </c>
      <c r="B11" s="35" t="inlineStr">
        <is>
          <t>Кургантепа</t>
        </is>
      </c>
      <c r="C11" s="36" t="n">
        <v>8</v>
      </c>
      <c r="D11" s="36" t="n">
        <v>13</v>
      </c>
      <c r="E11" s="36" t="n">
        <v>17.71</v>
      </c>
      <c r="F11" s="36" t="n">
        <v>19.5</v>
      </c>
    </row>
    <row r="12" ht="15" customHeight="1" s="20">
      <c r="A12" s="35" t="inlineStr">
        <is>
          <t>FRТАШ-319</t>
        </is>
      </c>
      <c r="B12" s="35" t="inlineStr">
        <is>
          <t>Баку</t>
        </is>
      </c>
      <c r="C12" s="36" t="n">
        <v>14.8</v>
      </c>
      <c r="D12" s="36" t="n">
        <v>19.43</v>
      </c>
      <c r="E12" s="36" t="n">
        <v>15.71</v>
      </c>
      <c r="F12" s="36" t="n">
        <v>18.5</v>
      </c>
    </row>
    <row r="13" ht="15" customHeight="1" s="20">
      <c r="A13" s="35" t="inlineStr">
        <is>
          <t>FRАЛМ-9</t>
        </is>
      </c>
      <c r="B13" s="35" t="inlineStr">
        <is>
          <t>Алмалык Амир Т</t>
        </is>
      </c>
      <c r="C13" s="36" t="n">
        <v>13.4</v>
      </c>
      <c r="D13" s="36" t="n">
        <v>16.57</v>
      </c>
      <c r="E13" s="36" t="n">
        <v>20.86</v>
      </c>
      <c r="F13" s="36" t="n">
        <v>16</v>
      </c>
    </row>
    <row r="14" ht="15" customHeight="1" s="20">
      <c r="A14" s="35" t="inlineStr">
        <is>
          <t>FRБХР-30</t>
        </is>
      </c>
      <c r="B14" s="35" t="inlineStr">
        <is>
          <t>Бухара</t>
        </is>
      </c>
      <c r="C14" s="36" t="n">
        <v>13.8</v>
      </c>
      <c r="D14" s="36" t="n">
        <v>21.71</v>
      </c>
      <c r="E14" s="36" t="n">
        <v>15.43</v>
      </c>
      <c r="F14" s="36" t="n">
        <v>15</v>
      </c>
    </row>
    <row r="15" ht="15" customHeight="1" s="20">
      <c r="A15" s="35" t="inlineStr">
        <is>
          <t>FRГАЗ-4</t>
        </is>
      </c>
      <c r="B15" s="35" t="inlineStr">
        <is>
          <t>Газалкент</t>
        </is>
      </c>
      <c r="C15" s="36" t="n">
        <v>9.6</v>
      </c>
      <c r="D15" s="36" t="n">
        <v>13.29</v>
      </c>
      <c r="E15" s="36" t="n">
        <v>14.57</v>
      </c>
      <c r="F15" s="36" t="n">
        <v>13</v>
      </c>
    </row>
    <row r="16" ht="15" customHeight="1" s="20">
      <c r="A16" s="35" t="inlineStr">
        <is>
          <t>FRАЛМ-10</t>
        </is>
      </c>
      <c r="B16" s="35" t="inlineStr">
        <is>
          <t>Алмалык Мустакилик</t>
        </is>
      </c>
      <c r="C16" s="36" t="n">
        <v>7.2</v>
      </c>
      <c r="D16" s="36" t="n">
        <v>8.140000000000001</v>
      </c>
      <c r="E16" s="36" t="n">
        <v>9.140000000000001</v>
      </c>
      <c r="F16" s="36" t="n">
        <v>12.5</v>
      </c>
    </row>
    <row r="17" ht="15" customHeight="1" s="20">
      <c r="A17" s="35" t="inlineStr">
        <is>
          <t>FRТАШ-308</t>
        </is>
      </c>
      <c r="B17" s="35" t="inlineStr">
        <is>
          <t>Янгиюнусабад</t>
        </is>
      </c>
      <c r="C17" s="36" t="n">
        <v>10.8</v>
      </c>
      <c r="D17" s="36" t="n">
        <v>13.57</v>
      </c>
      <c r="E17" s="36" t="n">
        <v>12.57</v>
      </c>
      <c r="F17" s="36" t="n">
        <v>12</v>
      </c>
    </row>
    <row r="18" ht="15" customHeight="1" s="20">
      <c r="A18" s="35" t="inlineStr">
        <is>
          <t>FRТАШ-307</t>
        </is>
      </c>
      <c r="B18" s="35" t="inlineStr">
        <is>
          <t>Крестик</t>
        </is>
      </c>
      <c r="C18" s="36" t="n">
        <v>4.4</v>
      </c>
      <c r="D18" s="36" t="n">
        <v>5.14</v>
      </c>
      <c r="E18" s="36" t="n">
        <v>5.29</v>
      </c>
      <c r="F18" s="36" t="n">
        <v>10</v>
      </c>
    </row>
    <row r="19" ht="15" customHeight="1" s="20">
      <c r="A19" s="35" t="inlineStr">
        <is>
          <t>FRБУК-2</t>
        </is>
      </c>
      <c r="B19" s="35" t="inlineStr">
        <is>
          <t>Бука</t>
        </is>
      </c>
      <c r="C19" s="36" t="n">
        <v>7</v>
      </c>
      <c r="D19" s="36" t="n">
        <v>12.57</v>
      </c>
      <c r="E19" s="36" t="n">
        <v>11.29</v>
      </c>
      <c r="F19" s="36" t="n">
        <v>9</v>
      </c>
    </row>
    <row r="20" ht="15" customHeight="1" s="20">
      <c r="A20" s="35" t="inlineStr">
        <is>
          <t>FRСМК-52</t>
        </is>
      </c>
      <c r="B20" s="35" t="inlineStr">
        <is>
          <t>Рудаки</t>
        </is>
      </c>
      <c r="C20" s="36" t="n">
        <v>11</v>
      </c>
      <c r="D20" s="36" t="n">
        <v>10.43</v>
      </c>
      <c r="E20" s="36" t="n">
        <v>11.14</v>
      </c>
      <c r="F20" s="36" t="n">
        <v>9</v>
      </c>
    </row>
    <row r="21" ht="15" customHeight="1" s="20">
      <c r="A21" s="35" t="inlineStr">
        <is>
          <t>FRПСК-2</t>
        </is>
      </c>
      <c r="B21" s="35" t="inlineStr">
        <is>
          <t>Пскент</t>
        </is>
      </c>
      <c r="C21" s="36" t="n">
        <v>0</v>
      </c>
      <c r="D21" s="36" t="n">
        <v>1.86</v>
      </c>
      <c r="E21" s="36" t="n">
        <v>7</v>
      </c>
      <c r="F21" s="36" t="n">
        <v>8.5</v>
      </c>
    </row>
    <row r="22" ht="15" customHeight="1" s="20">
      <c r="A22" s="35" t="inlineStr">
        <is>
          <t>FRМРГ-8</t>
        </is>
      </c>
      <c r="B22" s="35" t="inlineStr">
        <is>
          <t>Маргилан</t>
        </is>
      </c>
      <c r="C22" s="36" t="n">
        <v>0</v>
      </c>
      <c r="D22" s="36" t="n">
        <v>2</v>
      </c>
      <c r="E22" s="36" t="n">
        <v>3.86</v>
      </c>
      <c r="F22" s="36" t="n">
        <v>8.5</v>
      </c>
    </row>
    <row r="23" ht="15" customHeight="1" s="20">
      <c r="A23" s="35" t="inlineStr">
        <is>
          <t>FRСМК-53</t>
        </is>
      </c>
      <c r="B23" s="35" t="inlineStr">
        <is>
          <t>Андижанская</t>
        </is>
      </c>
      <c r="C23" s="36" t="n">
        <v>0</v>
      </c>
      <c r="D23" s="36" t="n">
        <v>0.14</v>
      </c>
      <c r="E23" s="36" t="n">
        <v>2.86</v>
      </c>
      <c r="F23" s="36" t="n">
        <v>5.5</v>
      </c>
    </row>
    <row r="24" ht="15" customHeight="1" s="20">
      <c r="A24" s="37" t="inlineStr">
        <is>
          <t>В среднем на ПВЗ</t>
        </is>
      </c>
      <c r="B24" s="38" t="inlineStr"/>
      <c r="C24" s="39">
        <f>AVERAGE(C6:C23)</f>
        <v/>
      </c>
      <c r="D24" s="39">
        <f>AVERAGE(D6:D23)</f>
        <v/>
      </c>
      <c r="E24" s="39">
        <f>AVERAGE(E6:E23)</f>
        <v/>
      </c>
      <c r="F24" s="39">
        <f>AVERAGE(F6:F23)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9" min="1" max="1"/>
    <col width="20" customWidth="1" style="19" min="2" max="2"/>
    <col width="13" customWidth="1" style="19" min="3" max="6"/>
    <col width="13" customWidth="1" style="20" min="4" max="4"/>
    <col width="13" customWidth="1" style="20" min="5" max="5"/>
    <col width="13" customWidth="1" style="20" min="6" max="6"/>
  </cols>
  <sheetData>
    <row r="1" ht="15" customHeight="1" s="20">
      <c r="A1" s="29" t="inlineStr">
        <is>
          <t>Сумма выручки (объём) по неделям, сум (накопительно)</t>
        </is>
      </c>
    </row>
    <row r="2" ht="15" customHeight="1" s="20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ht="15" customHeight="1" s="20">
      <c r="C3" s="19" t="inlineStr">
        <is>
          <t>2026-05-11</t>
        </is>
      </c>
      <c r="D3" s="19" t="inlineStr">
        <is>
          <t>2026-05-18</t>
        </is>
      </c>
      <c r="E3" s="19" t="inlineStr">
        <is>
          <t>2026-05-25</t>
        </is>
      </c>
      <c r="F3" s="19" t="inlineStr">
        <is>
          <t>2026-06-01</t>
        </is>
      </c>
    </row>
    <row r="4" ht="15" customHeight="1" s="20">
      <c r="A4" s="31" t="inlineStr">
        <is>
          <t>Код</t>
        </is>
      </c>
      <c r="B4" s="31" t="inlineStr">
        <is>
          <t>AKA</t>
        </is>
      </c>
      <c r="C4" s="31" t="inlineStr">
        <is>
          <t>11.05–17.05*</t>
        </is>
      </c>
      <c r="D4" s="31" t="inlineStr">
        <is>
          <t>18.05–24.05</t>
        </is>
      </c>
      <c r="E4" s="31" t="inlineStr">
        <is>
          <t>25.05–31.05</t>
        </is>
      </c>
      <c r="F4" s="31" t="inlineStr">
        <is>
          <t>01.06–07.06*</t>
        </is>
      </c>
    </row>
    <row r="5" ht="15" customHeight="1" s="20">
      <c r="A5" s="32" t="inlineStr">
        <is>
          <t>Дней с данными</t>
        </is>
      </c>
      <c r="B5" s="33" t="inlineStr"/>
      <c r="C5" s="34" t="n">
        <v>5</v>
      </c>
      <c r="D5" s="34" t="n">
        <v>7</v>
      </c>
      <c r="E5" s="34" t="n">
        <v>7</v>
      </c>
      <c r="F5" s="34" t="n">
        <v>2</v>
      </c>
    </row>
    <row r="6" ht="15" customHeight="1" s="20">
      <c r="A6" s="35" t="inlineStr">
        <is>
          <t>FRТАШ-290</t>
        </is>
      </c>
      <c r="B6" s="35" t="inlineStr">
        <is>
          <t>Буз-1</t>
        </is>
      </c>
      <c r="C6" s="40" t="n">
        <v>26572309</v>
      </c>
      <c r="D6" s="40" t="n">
        <v>54415488</v>
      </c>
      <c r="E6" s="40" t="n">
        <v>46859038</v>
      </c>
      <c r="F6" s="40" t="n">
        <v>22088856</v>
      </c>
    </row>
    <row r="7" ht="15" customHeight="1" s="20">
      <c r="A7" s="35" t="inlineStr">
        <is>
          <t>FRТАШ-291</t>
        </is>
      </c>
      <c r="B7" s="35" t="inlineStr">
        <is>
          <t>Бабур</t>
        </is>
      </c>
      <c r="C7" s="40" t="n">
        <v>25945431</v>
      </c>
      <c r="D7" s="40" t="n">
        <v>37459210</v>
      </c>
      <c r="E7" s="40" t="n">
        <v>48992678</v>
      </c>
      <c r="F7" s="40" t="n">
        <v>7192321</v>
      </c>
    </row>
    <row r="8" ht="15" customHeight="1" s="20">
      <c r="A8" s="35" t="inlineStr">
        <is>
          <t>FRТАШ-292</t>
        </is>
      </c>
      <c r="B8" s="35" t="inlineStr">
        <is>
          <t>Спутник</t>
        </is>
      </c>
      <c r="C8" s="40" t="n">
        <v>14023998</v>
      </c>
      <c r="D8" s="40" t="n">
        <v>23623555</v>
      </c>
      <c r="E8" s="40" t="n">
        <v>37049808</v>
      </c>
      <c r="F8" s="40" t="n">
        <v>15343237</v>
      </c>
    </row>
    <row r="9" ht="15" customHeight="1" s="20">
      <c r="A9" s="35" t="inlineStr">
        <is>
          <t>FRТАШ-294</t>
        </is>
      </c>
      <c r="B9" s="35" t="inlineStr">
        <is>
          <t>Шастри</t>
        </is>
      </c>
      <c r="C9" s="40" t="n">
        <v>11787061</v>
      </c>
      <c r="D9" s="40" t="n">
        <v>33489630</v>
      </c>
      <c r="E9" s="40" t="n">
        <v>34406847</v>
      </c>
      <c r="F9" s="40" t="n">
        <v>4614543</v>
      </c>
    </row>
    <row r="10" ht="15" customHeight="1" s="20">
      <c r="A10" s="35" t="inlineStr">
        <is>
          <t>FRТАШ-289</t>
        </is>
      </c>
      <c r="B10" s="35" t="inlineStr">
        <is>
          <t>Афросиаб</t>
        </is>
      </c>
      <c r="C10" s="40" t="n">
        <v>3579870</v>
      </c>
      <c r="D10" s="40" t="n">
        <v>26016508</v>
      </c>
      <c r="E10" s="40" t="n">
        <v>28967720</v>
      </c>
      <c r="F10" s="40" t="n">
        <v>8017702</v>
      </c>
    </row>
    <row r="11" ht="15" customHeight="1" s="20">
      <c r="A11" s="35" t="inlineStr">
        <is>
          <t>FRТАШ-293</t>
        </is>
      </c>
      <c r="B11" s="35" t="inlineStr">
        <is>
          <t>Кургантепа</t>
        </is>
      </c>
      <c r="C11" s="40" t="n">
        <v>9063650</v>
      </c>
      <c r="D11" s="40" t="n">
        <v>19435779</v>
      </c>
      <c r="E11" s="40" t="n">
        <v>20382320</v>
      </c>
      <c r="F11" s="40" t="n">
        <v>3952124</v>
      </c>
    </row>
    <row r="12" ht="15" customHeight="1" s="20">
      <c r="A12" s="35" t="inlineStr">
        <is>
          <t>FRТАШ-319</t>
        </is>
      </c>
      <c r="B12" s="35" t="inlineStr">
        <is>
          <t>Баку</t>
        </is>
      </c>
      <c r="C12" s="40" t="n">
        <v>11237754</v>
      </c>
      <c r="D12" s="40" t="n">
        <v>29303296</v>
      </c>
      <c r="E12" s="40" t="n">
        <v>17092421</v>
      </c>
      <c r="F12" s="40" t="n">
        <v>7508366</v>
      </c>
    </row>
    <row r="13" ht="15" customHeight="1" s="20">
      <c r="A13" s="35" t="inlineStr">
        <is>
          <t>FRАЛМ-9</t>
        </is>
      </c>
      <c r="B13" s="35" t="inlineStr">
        <is>
          <t>Алмалык Амир Т</t>
        </is>
      </c>
      <c r="C13" s="40" t="n">
        <v>13421812</v>
      </c>
      <c r="D13" s="40" t="n">
        <v>19296100</v>
      </c>
      <c r="E13" s="40" t="n">
        <v>32898025</v>
      </c>
      <c r="F13" s="40" t="n">
        <v>6157955</v>
      </c>
    </row>
    <row r="14" ht="15" customHeight="1" s="20">
      <c r="A14" s="35" t="inlineStr">
        <is>
          <t>FRБХР-30</t>
        </is>
      </c>
      <c r="B14" s="35" t="inlineStr">
        <is>
          <t>Бухара</t>
        </is>
      </c>
      <c r="C14" s="40" t="n">
        <v>10462042</v>
      </c>
      <c r="D14" s="40" t="n">
        <v>24242808</v>
      </c>
      <c r="E14" s="40" t="n">
        <v>20176647</v>
      </c>
      <c r="F14" s="40" t="n">
        <v>3643570</v>
      </c>
    </row>
    <row r="15" ht="15" customHeight="1" s="20">
      <c r="A15" s="35" t="inlineStr">
        <is>
          <t>FRГАЗ-4</t>
        </is>
      </c>
      <c r="B15" s="35" t="inlineStr">
        <is>
          <t>Газалкент</t>
        </is>
      </c>
      <c r="C15" s="40" t="n">
        <v>6139086</v>
      </c>
      <c r="D15" s="40" t="n">
        <v>14744333</v>
      </c>
      <c r="E15" s="40" t="n">
        <v>18390296</v>
      </c>
      <c r="F15" s="40" t="n">
        <v>6589707</v>
      </c>
    </row>
    <row r="16" ht="15" customHeight="1" s="20">
      <c r="A16" s="35" t="inlineStr">
        <is>
          <t>FRАЛМ-10</t>
        </is>
      </c>
      <c r="B16" s="35" t="inlineStr">
        <is>
          <t>Алмалык Мустакилик</t>
        </is>
      </c>
      <c r="C16" s="40" t="n">
        <v>6011315</v>
      </c>
      <c r="D16" s="40" t="n">
        <v>10213590</v>
      </c>
      <c r="E16" s="40" t="n">
        <v>10032796</v>
      </c>
      <c r="F16" s="40" t="n">
        <v>5098524</v>
      </c>
    </row>
    <row r="17" ht="15" customHeight="1" s="20">
      <c r="A17" s="35" t="inlineStr">
        <is>
          <t>FRТАШ-308</t>
        </is>
      </c>
      <c r="B17" s="35" t="inlineStr">
        <is>
          <t>Янгиюнусабад</t>
        </is>
      </c>
      <c r="C17" s="40" t="n">
        <v>7434617</v>
      </c>
      <c r="D17" s="40" t="n">
        <v>11541808</v>
      </c>
      <c r="E17" s="40" t="n">
        <v>11589026</v>
      </c>
      <c r="F17" s="40" t="n">
        <v>3737498</v>
      </c>
    </row>
    <row r="18" ht="15" customHeight="1" s="20">
      <c r="A18" s="35" t="inlineStr">
        <is>
          <t>FRТАШ-307</t>
        </is>
      </c>
      <c r="B18" s="35" t="inlineStr">
        <is>
          <t>Крестик</t>
        </is>
      </c>
      <c r="C18" s="40" t="n">
        <v>2876909</v>
      </c>
      <c r="D18" s="40" t="n">
        <v>6793378</v>
      </c>
      <c r="E18" s="40" t="n">
        <v>3855907</v>
      </c>
      <c r="F18" s="40" t="n">
        <v>2500720</v>
      </c>
    </row>
    <row r="19" ht="15" customHeight="1" s="20">
      <c r="A19" s="35" t="inlineStr">
        <is>
          <t>FRБУК-2</t>
        </is>
      </c>
      <c r="B19" s="35" t="inlineStr">
        <is>
          <t>Бука</t>
        </is>
      </c>
      <c r="C19" s="40" t="n">
        <v>6458596</v>
      </c>
      <c r="D19" s="40" t="n">
        <v>16321651</v>
      </c>
      <c r="E19" s="40" t="n">
        <v>12911381</v>
      </c>
      <c r="F19" s="40" t="n">
        <v>2821800</v>
      </c>
    </row>
    <row r="20" ht="15" customHeight="1" s="20">
      <c r="A20" s="35" t="inlineStr">
        <is>
          <t>FRСМК-52</t>
        </is>
      </c>
      <c r="B20" s="35" t="inlineStr">
        <is>
          <t>Рудаки</t>
        </is>
      </c>
      <c r="C20" s="40" t="n">
        <v>6460094</v>
      </c>
      <c r="D20" s="40" t="n">
        <v>14908071</v>
      </c>
      <c r="E20" s="40" t="n">
        <v>20904887</v>
      </c>
      <c r="F20" s="40" t="n">
        <v>3500535</v>
      </c>
    </row>
    <row r="21" ht="15" customHeight="1" s="20">
      <c r="A21" s="35" t="inlineStr">
        <is>
          <t>FRПСК-2</t>
        </is>
      </c>
      <c r="B21" s="35" t="inlineStr">
        <is>
          <t>Пскент</t>
        </is>
      </c>
      <c r="C21" s="40" t="n">
        <v>0</v>
      </c>
      <c r="D21" s="40" t="n">
        <v>1357510</v>
      </c>
      <c r="E21" s="40" t="n">
        <v>9736256</v>
      </c>
      <c r="F21" s="40" t="n">
        <v>2131223</v>
      </c>
    </row>
    <row r="22" ht="15" customHeight="1" s="20">
      <c r="A22" s="35" t="inlineStr">
        <is>
          <t>FRМРГ-8</t>
        </is>
      </c>
      <c r="B22" s="35" t="inlineStr">
        <is>
          <t>Маргилан</t>
        </is>
      </c>
      <c r="C22" s="40" t="n">
        <v>0</v>
      </c>
      <c r="D22" s="40" t="n">
        <v>1377990</v>
      </c>
      <c r="E22" s="40" t="n">
        <v>3465270</v>
      </c>
      <c r="F22" s="40" t="n">
        <v>3033290</v>
      </c>
    </row>
    <row r="23" ht="15" customHeight="1" s="20">
      <c r="A23" s="35" t="inlineStr">
        <is>
          <t>FRСМК-53</t>
        </is>
      </c>
      <c r="B23" s="35" t="inlineStr">
        <is>
          <t>Андижанская</t>
        </is>
      </c>
      <c r="C23" s="40" t="n">
        <v>0</v>
      </c>
      <c r="D23" s="40" t="n">
        <v>363900</v>
      </c>
      <c r="E23" s="40" t="n">
        <v>3477490</v>
      </c>
      <c r="F23" s="40" t="n">
        <v>2293470</v>
      </c>
    </row>
    <row r="24" ht="15" customHeight="1" s="20">
      <c r="A24" s="37" t="inlineStr">
        <is>
          <t>В среднем на ПВЗ</t>
        </is>
      </c>
      <c r="B24" s="38" t="inlineStr"/>
      <c r="C24" s="41">
        <f>AVERAGE(C6:C23)</f>
        <v/>
      </c>
      <c r="D24" s="41">
        <f>AVERAGE(D6:D23)</f>
        <v/>
      </c>
      <c r="E24" s="41">
        <f>AVERAGE(E6:E23)</f>
        <v/>
      </c>
      <c r="F24" s="41">
        <f>AVERAGE(F6:F23)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style="20" min="1" max="1"/>
    <col width="22" customWidth="1" style="20" min="2" max="2"/>
    <col width="15" customWidth="1" style="20" min="3" max="3"/>
  </cols>
  <sheetData>
    <row r="1">
      <c r="A1" s="29" t="inlineStr">
        <is>
          <t>Факт по отчётам «Сатори» (агентское вознаграждение Uzum), сум — накопительно по месяцам</t>
        </is>
      </c>
    </row>
    <row r="2">
      <c r="A2" s="30" t="inlineStr">
        <is>
          <t>Доход ПВЗ = фикс. вознаграждение (гарантия, прорейчено) + п.1.8 + компенсация п.5.2.1. Закрытые месяцы не переписываются.</t>
        </is>
      </c>
    </row>
    <row r="3" hidden="1" s="20">
      <c r="C3" t="inlineStr">
        <is>
          <t>2026-05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май 2026</t>
        </is>
      </c>
    </row>
    <row r="5">
      <c r="A5" s="32" t="inlineStr">
        <is>
          <t>Дней в месяце</t>
        </is>
      </c>
      <c r="B5" s="33" t="inlineStr"/>
      <c r="C5" s="34" t="n">
        <v>31</v>
      </c>
    </row>
    <row r="6">
      <c r="A6" s="35" t="inlineStr">
        <is>
          <t>FRТАШ-290</t>
        </is>
      </c>
      <c r="B6" s="35" t="inlineStr">
        <is>
          <t>Буз-1</t>
        </is>
      </c>
      <c r="C6" s="40" t="n">
        <v>14619948</v>
      </c>
    </row>
    <row r="7">
      <c r="A7" s="35" t="inlineStr">
        <is>
          <t>FRТАШ-291</t>
        </is>
      </c>
      <c r="B7" s="35" t="inlineStr">
        <is>
          <t>Бабур</t>
        </is>
      </c>
      <c r="C7" s="40" t="n">
        <v>14598348</v>
      </c>
    </row>
    <row r="8">
      <c r="A8" s="35" t="inlineStr">
        <is>
          <t>FRТАШ-294</t>
        </is>
      </c>
      <c r="B8" s="35" t="inlineStr">
        <is>
          <t>Шастри</t>
        </is>
      </c>
      <c r="C8" s="40" t="n">
        <v>23504800</v>
      </c>
    </row>
    <row r="9">
      <c r="A9" s="35" t="inlineStr">
        <is>
          <t>FRТАШ-292</t>
        </is>
      </c>
      <c r="B9" s="35" t="inlineStr">
        <is>
          <t>Спутник</t>
        </is>
      </c>
      <c r="C9" s="40" t="n">
        <v>14593548</v>
      </c>
    </row>
    <row r="10">
      <c r="A10" s="35" t="inlineStr">
        <is>
          <t>FRАЛМ-9</t>
        </is>
      </c>
      <c r="B10" s="35" t="inlineStr">
        <is>
          <t>Алмалык Амир Т</t>
        </is>
      </c>
      <c r="C10" s="40" t="n">
        <v>11291523</v>
      </c>
    </row>
    <row r="11">
      <c r="A11" s="35" t="inlineStr">
        <is>
          <t>FRТАШ-289</t>
        </is>
      </c>
      <c r="B11" s="35" t="inlineStr">
        <is>
          <t>Афросиаб</t>
        </is>
      </c>
      <c r="C11" s="40" t="n">
        <v>10117626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40" t="n">
        <v>11234206</v>
      </c>
    </row>
    <row r="13">
      <c r="A13" s="35" t="inlineStr">
        <is>
          <t>FRТАШ-319</t>
        </is>
      </c>
      <c r="B13" s="35" t="inlineStr">
        <is>
          <t>Баку</t>
        </is>
      </c>
      <c r="C13" s="40" t="n">
        <v>14598348</v>
      </c>
    </row>
    <row r="14">
      <c r="A14" s="35" t="inlineStr">
        <is>
          <t>FRБХР-30</t>
        </is>
      </c>
      <c r="B14" s="35" t="inlineStr">
        <is>
          <t>Бухара</t>
        </is>
      </c>
      <c r="C14" s="40" t="n">
        <v>14003600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0" t="n">
        <v>14001200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0" t="n">
        <v>17401200</v>
      </c>
    </row>
    <row r="17">
      <c r="A17" s="35" t="inlineStr">
        <is>
          <t>FRБУК-2</t>
        </is>
      </c>
      <c r="B17" s="35" t="inlineStr">
        <is>
          <t>Бука</t>
        </is>
      </c>
      <c r="C17" s="40" t="n">
        <v>12193548</v>
      </c>
    </row>
    <row r="18">
      <c r="A18" s="35" t="inlineStr">
        <is>
          <t>FRСМК-52</t>
        </is>
      </c>
      <c r="B18" s="35" t="inlineStr">
        <is>
          <t>Рудаки</t>
        </is>
      </c>
      <c r="C18" s="40" t="n">
        <v>12645161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0" t="n">
        <v>11744335</v>
      </c>
    </row>
    <row r="20">
      <c r="A20" s="35" t="inlineStr">
        <is>
          <t>FRПСК-2</t>
        </is>
      </c>
      <c r="B20" s="35" t="inlineStr">
        <is>
          <t>Пскент</t>
        </is>
      </c>
      <c r="C20" s="40" t="n">
        <v>5422955</v>
      </c>
    </row>
    <row r="21">
      <c r="A21" s="35" t="inlineStr">
        <is>
          <t>FRТАШ-307</t>
        </is>
      </c>
      <c r="B21" s="35" t="inlineStr">
        <is>
          <t>Крестик</t>
        </is>
      </c>
      <c r="C21" s="40" t="n">
        <v>23501200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5148387</v>
      </c>
    </row>
    <row r="23">
      <c r="A23" s="35" t="inlineStr">
        <is>
          <t>FRСМК-53</t>
        </is>
      </c>
      <c r="B23" s="35" t="inlineStr">
        <is>
          <t>Андижанская</t>
        </is>
      </c>
      <c r="C23" s="40" t="n">
        <v>4967742</v>
      </c>
    </row>
    <row r="24">
      <c r="A24" s="37" t="inlineStr">
        <is>
          <t>ИТОГО по сети</t>
        </is>
      </c>
      <c r="B24" s="38" t="inlineStr"/>
      <c r="C24" s="41">
        <f>SUM(C6:C23)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2026-06-06T09:43:41Z</dcterms:created>
  <dcterms:modified xsi:type="dcterms:W3CDTF">2026-06-06T12:14:01Z</dcterms:modified>
  <cp:revision>0</cp:revision>
</cp:coreProperties>
</file>